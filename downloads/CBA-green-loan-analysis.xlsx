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360" windowHeight="13080"/>
  </bookViews>
  <sheets>
    <sheet name="碳排放量+回报金额" sheetId="1" r:id="rId1"/>
    <sheet name="Retail ES" sheetId="7" r:id="rId2"/>
    <sheet name="Retail平均k=2" sheetId="10" r:id="rId3"/>
    <sheet name="Retail平均k=3" sheetId="14" r:id="rId4"/>
    <sheet name="Business ES" sheetId="8" r:id="rId5"/>
    <sheet name="Business平均=2" sheetId="11" r:id="rId6"/>
    <sheet name="Business平均K=3" sheetId="15" r:id="rId7"/>
    <sheet name="Institution ES" sheetId="9" r:id="rId8"/>
    <sheet name="Institution平均k=2" sheetId="12" r:id="rId9"/>
    <sheet name="Institution平均k=3" sheetId="16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<sst xmlns="http://schemas.openxmlformats.org/spreadsheetml/2006/main" count="511" uniqueCount="79">
  <si>
    <r>
      <t>Carbon emissions (10</t>
    </r>
    <r>
      <rPr>
        <vertAlign val="super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tons CO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e) associated with green loan portfolios</t>
    </r>
  </si>
  <si>
    <t>Period</t>
  </si>
  <si>
    <r>
      <t>Retail (10</t>
    </r>
    <r>
      <rPr>
        <vertAlign val="super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tons CO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e)</t>
    </r>
  </si>
  <si>
    <r>
      <t>Business (10</t>
    </r>
    <r>
      <rPr>
        <vertAlign val="super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tons CO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-e)</t>
    </r>
  </si>
  <si>
    <r>
      <t>Institutional (10</t>
    </r>
    <r>
      <rPr>
        <vertAlign val="super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tons CO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-e)</t>
    </r>
  </si>
  <si>
    <t>2022 H1</t>
  </si>
  <si>
    <t>SUMMARY OUTPUT</t>
  </si>
  <si>
    <t>2022 H2</t>
  </si>
  <si>
    <t>2023 H1</t>
  </si>
  <si>
    <t>Regression Statistics</t>
  </si>
  <si>
    <t>2023 H2</t>
  </si>
  <si>
    <t>Multiple R</t>
  </si>
  <si>
    <t>2024 H1</t>
  </si>
  <si>
    <t>R Square</t>
  </si>
  <si>
    <t>2024 H2</t>
  </si>
  <si>
    <t>Adjusted R Square</t>
  </si>
  <si>
    <t>Standard Error</t>
  </si>
  <si>
    <t>Observations</t>
  </si>
  <si>
    <t>三类贷款回报金额(Estimated Return from Three Categories of Green Loans)</t>
  </si>
  <si>
    <t>Retail (Thousand AUD)</t>
  </si>
  <si>
    <t>Business (Thousand AUD)</t>
  </si>
  <si>
    <t>Institutional (Thousand AUD)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</si>
  <si>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</si>
  <si>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</si>
  <si>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</si>
  <si>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</si>
  <si>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</si>
  <si>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</si>
  <si>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</si>
  <si>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</si>
  <si>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</si>
  <si>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</si>
  <si>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</si>
  <si>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</si>
  <si>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</si>
  <si>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</si>
  <si>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</si>
  <si>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</si>
  <si>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</si>
  <si>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Retail (10^3 tons CO₂-e)</t>
  </si>
  <si>
    <t>年度回报率（%）</t>
  </si>
  <si>
    <t>Retail</t>
  </si>
  <si>
    <t>Business</t>
  </si>
  <si>
    <t>Institutional</t>
  </si>
  <si>
    <t>列1</t>
  </si>
  <si>
    <t>列2</t>
  </si>
  <si>
    <t>列3</t>
  </si>
  <si>
    <t>列4</t>
  </si>
  <si>
    <t>列5</t>
  </si>
  <si>
    <t>Retail Category Return Amount</t>
  </si>
  <si>
    <r>
      <rPr>
        <sz val="11"/>
        <color theme="1"/>
        <rFont val="The new times"/>
        <charset val="134"/>
      </rPr>
      <t>Expentional Smooth (</t>
    </r>
    <r>
      <rPr>
        <sz val="11"/>
        <color theme="1"/>
        <rFont val="The new times"/>
        <charset val="134"/>
      </rPr>
      <t>α=1)</t>
    </r>
  </si>
  <si>
    <t xml:space="preserve">Moving Average (k=2) </t>
  </si>
  <si>
    <t>Moving Average (k=3)</t>
  </si>
  <si>
    <t>MAE</t>
  </si>
  <si>
    <t>MSE</t>
  </si>
  <si>
    <t>MAPE</t>
  </si>
  <si>
    <t>Business Category Return Amount</t>
  </si>
  <si>
    <t>Instituaional Category Return Amount</t>
  </si>
  <si>
    <t>Business (10^3 tons CO₂-e)</t>
  </si>
  <si>
    <t>Retail Category Carbon Emission</t>
  </si>
  <si>
    <t>Business Category Carbon Emission</t>
  </si>
  <si>
    <t>Instituaional Category Carbon Emission</t>
  </si>
  <si>
    <t>Institutional (10^3 tons CO₂-e)</t>
  </si>
  <si>
    <t>CBA Green Loan Return Amount in Retail Category (in Million AUD)</t>
  </si>
  <si>
    <t>Forecast</t>
  </si>
  <si>
    <t>Forcast Error</t>
  </si>
  <si>
    <t>Absolute Value of Forecast Error</t>
  </si>
  <si>
    <t>Squared Forcast Error</t>
  </si>
  <si>
    <t>Peercentage Error</t>
  </si>
  <si>
    <t>Absolute Value of Percenatge Error</t>
  </si>
  <si>
    <t>MFE</t>
  </si>
  <si>
    <r>
      <rPr>
        <sz val="11"/>
        <color theme="1"/>
        <rFont val="宋体"/>
        <charset val="134"/>
        <scheme val="minor"/>
      </rPr>
      <t>CBA Carbon Emission in Retail Category (in 10^3 tons CO</t>
    </r>
    <r>
      <rPr>
        <sz val="11"/>
        <color theme="1"/>
        <rFont val="Cambria Math"/>
        <charset val="1"/>
      </rPr>
      <t>₂</t>
    </r>
    <r>
      <rPr>
        <sz val="11"/>
        <color theme="1"/>
        <rFont val="宋体"/>
        <charset val="134"/>
        <scheme val="minor"/>
      </rPr>
      <t>-e)</t>
    </r>
  </si>
  <si>
    <r>
      <rPr>
        <sz val="11"/>
        <color theme="1"/>
        <rFont val="宋体"/>
        <charset val="134"/>
        <scheme val="minor"/>
      </rPr>
      <t>Retail (10^3 tons CO</t>
    </r>
    <r>
      <rPr>
        <sz val="11"/>
        <color theme="1"/>
        <rFont val="Cambria Math"/>
        <charset val="1"/>
      </rPr>
      <t>₂</t>
    </r>
    <r>
      <rPr>
        <sz val="11"/>
        <color theme="1"/>
        <rFont val="宋体"/>
        <charset val="134"/>
        <scheme val="minor"/>
      </rPr>
      <t>-e)</t>
    </r>
  </si>
  <si>
    <t>CBA Green Loan Return Amount in Business Category (in Million AUD)</t>
  </si>
  <si>
    <r>
      <rPr>
        <sz val="11"/>
        <color theme="1"/>
        <rFont val="宋体"/>
        <charset val="134"/>
        <scheme val="minor"/>
      </rPr>
      <t>CBA Carbon Emission in Business Category (in 10^3 tons CO</t>
    </r>
    <r>
      <rPr>
        <sz val="11"/>
        <color theme="1"/>
        <rFont val="Cambria Math"/>
        <charset val="1"/>
      </rPr>
      <t>₂</t>
    </r>
    <r>
      <rPr>
        <sz val="11"/>
        <color theme="1"/>
        <rFont val="宋体"/>
        <charset val="134"/>
        <scheme val="minor"/>
      </rPr>
      <t>-e)</t>
    </r>
  </si>
  <si>
    <r>
      <rPr>
        <sz val="11"/>
        <color theme="1"/>
        <rFont val="宋体"/>
        <charset val="134"/>
        <scheme val="minor"/>
      </rPr>
      <t>Business (10^3 tons CO</t>
    </r>
    <r>
      <rPr>
        <sz val="11"/>
        <color theme="1"/>
        <rFont val="Cambria Math"/>
        <charset val="1"/>
      </rPr>
      <t>₂</t>
    </r>
    <r>
      <rPr>
        <sz val="11"/>
        <color theme="1"/>
        <rFont val="宋体"/>
        <charset val="134"/>
        <scheme val="minor"/>
      </rPr>
      <t>-e)</t>
    </r>
  </si>
  <si>
    <t>CBA Green Loan Return Amount in Institution Category (in Million AUD)</t>
  </si>
  <si>
    <r>
      <rPr>
        <sz val="11"/>
        <color theme="1"/>
        <rFont val="宋体"/>
        <charset val="134"/>
        <scheme val="minor"/>
      </rPr>
      <t>CBA Carbon Emission in  Institution Category (in 10^3 tons CO</t>
    </r>
    <r>
      <rPr>
        <sz val="11"/>
        <color theme="1"/>
        <rFont val="Cambria Math"/>
        <charset val="1"/>
      </rPr>
      <t>₂</t>
    </r>
    <r>
      <rPr>
        <sz val="11"/>
        <color theme="1"/>
        <rFont val="宋体"/>
        <charset val="134"/>
        <scheme val="minor"/>
      </rPr>
      <t>-e)</t>
    </r>
  </si>
  <si>
    <r>
      <rPr>
        <sz val="11"/>
        <color theme="1"/>
        <rFont val="宋体"/>
        <charset val="134"/>
        <scheme val="minor"/>
      </rPr>
      <t>Institutional (10^3 tons CO</t>
    </r>
    <r>
      <rPr>
        <sz val="11"/>
        <color theme="1"/>
        <rFont val="Cambria Math"/>
        <charset val="1"/>
      </rPr>
      <t>₂</t>
    </r>
    <r>
      <rPr>
        <sz val="11"/>
        <color theme="1"/>
        <rFont val="宋体"/>
        <charset val="134"/>
        <scheme val="minor"/>
      </rPr>
      <t>-e)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</si>
</sst>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Times New Roman Regular"/>
      <charset val="134"/>
    </font>
    <font>
      <sz val="11"/>
      <color theme="1"/>
      <name val="The new times"/>
      <charset val="134"/>
    </font>
    <font>
      <sz val="11"/>
      <color theme="1"/>
      <name val="The new times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Cambria Math"/>
      <charset val="1"/>
    </font>
    <font>
      <vertAlign val="superscript"/>
      <sz val="11"/>
      <color theme="1"/>
      <name val="宋体"/>
      <charset val="134"/>
      <scheme val="minor"/>
    </font>
    <font>
      <vertAlign val="subscript"/>
      <sz val="11"/>
      <color theme="1"/>
      <name val="宋体"/>
      <charset val="134"/>
      <scheme val="minor"/>
    </font>
    <font>
      <sz val="11"/>
      <color theme="1"/>
      <name val="Cambria Math"/>
      <charset val="1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Fill="1">
      <alignment vertical="center"/>
    </xf>
    <xf numFmtId="0" fontId="5" fillId="0" borderId="1" xfId="0" applyFont="1" applyFill="1" applyBorder="1" applyAlignment="1">
      <alignment horizontal="centerContinuous" vertical="center"/>
    </xf>
    <xf numFmtId="0" fontId="5" fillId="0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5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2">
    <dxf>
      <font>
        <name val="The new times"/>
        <scheme val="none"/>
        <b val="0"/>
        <i val="0"/>
        <strike val="0"/>
        <u val="none"/>
        <sz val="11"/>
        <color theme="1"/>
      </font>
      <fill>
        <patternFill patternType="none"/>
      </fill>
      <alignment horizontal="center" vertical="center" wrapText="1"/>
    </dxf>
    <dxf>
      <font>
        <name val="The new times"/>
        <scheme val="none"/>
        <family val="2"/>
        <b val="0"/>
        <i val="0"/>
        <strike val="0"/>
        <u val="none"/>
        <sz val="11"/>
        <color theme="1"/>
      </font>
      <fill>
        <patternFill patternType="none"/>
      </fill>
      <alignment horizontal="center" vertical="center" wrapText="1"/>
    </dxf>
    <dxf>
      <font>
        <name val="The new times"/>
        <scheme val="none"/>
        <family val="2"/>
        <b val="0"/>
        <i val="0"/>
        <strike val="0"/>
        <u val="none"/>
        <sz val="11"/>
        <color theme="1"/>
      </font>
      <fill>
        <patternFill patternType="none"/>
      </fill>
      <alignment horizontal="center" vertical="center" wrapText="1"/>
    </dxf>
    <dxf>
      <font>
        <name val="The new times"/>
        <scheme val="none"/>
        <family val="2"/>
        <b val="0"/>
        <i val="0"/>
        <strike val="0"/>
        <u val="none"/>
        <sz val="11"/>
        <color theme="1"/>
      </font>
      <fill>
        <patternFill patternType="none"/>
      </fill>
      <alignment horizontal="center" vertical="center" wrapText="1"/>
    </dxf>
    <dxf>
      <alignment horizontal="center" vertical="center" wrapText="1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  <tableStyle name="PivotStylePreset2_Accent1" table="0" count="10" xr9:uid="{267968C8-6FFD-4C36-ACC1-9EA1FD1885CA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eetMetadata" Target="metadata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26:E41" totalsRowShown="0">
  <autoFilter xmlns:etc="http://www.wps.cn/officeDocument/2017/etCustomData" ref="A26:E41" etc:filterBottomFollowUsedRange="0"/>
  <tableColumns count="5">
    <tableColumn id="1" name="列1" dataDxfId="0"/>
    <tableColumn id="2" name="列2" dataDxfId="1"/>
    <tableColumn id="3" name="列3" dataDxfId="2"/>
    <tableColumn id="4" name="列4" dataDxfId="3"/>
    <tableColumn id="5" name="列5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5"/>
  <sheetViews>
    <sheetView tabSelected="1" zoomScale="120" zoomScaleNormal="120" workbookViewId="0">
      <selection activeCell="E5" sqref="E5"/>
    </sheetView>
  </sheetViews>
  <sheetFormatPr defaultColWidth="10.3942307692308" defaultRowHeight="16.8"/>
  <cols>
    <col min="1" max="1" width="23.1346153846154" style="5" customWidth="1"/>
    <col min="2" max="2" width="24.7307692307692" style="5" customWidth="1"/>
    <col min="3" max="3" width="27.0673076923077" style="5" customWidth="1"/>
    <col min="4" max="4" width="32.5961538461538" style="5" customWidth="1"/>
    <col min="5" max="5" width="25.1346153846154" style="5" customWidth="1"/>
    <col min="6" max="6" width="10.3942307692308" style="5"/>
    <col min="7" max="7" width="27" style="5" customWidth="1"/>
    <col min="8" max="8" width="15.3942307692308" style="5" customWidth="1"/>
    <col min="9" max="9" width="17.3942307692308" style="5" customWidth="1"/>
    <col min="10" max="10" width="12.1346153846154" style="5" customWidth="1"/>
    <col min="11" max="11" width="11.3942307692308" style="5" customWidth="1"/>
    <col min="12" max="12" width="15.7307692307692" style="5" customWidth="1"/>
    <col min="13" max="13" width="12.5961538461538" style="5" customWidth="1"/>
    <col min="14" max="14" width="11.6634615384615" style="5" customWidth="1"/>
    <col min="15" max="15" width="11.7980769230769" style="5" customWidth="1"/>
    <col min="16" max="16384" width="10.3942307692308" style="5"/>
  </cols>
  <sheetData>
    <row r="1" spans="1:5">
      <c r="A1" s="11" t="s">
        <v>0</v>
      </c>
      <c r="B1" s="11"/>
      <c r="C1" s="11"/>
      <c r="D1" s="11"/>
      <c r="E1" s="16"/>
    </row>
    <row r="2" ht="20" spans="1:4">
      <c r="A2" s="5" t="s">
        <v>1</v>
      </c>
      <c r="B2" s="2" t="s">
        <v>2</v>
      </c>
      <c r="C2" s="2" t="s">
        <v>3</v>
      </c>
      <c r="D2" s="2" t="s">
        <v>4</v>
      </c>
    </row>
    <row r="3" ht="17" spans="1:15">
      <c r="A3" s="5" t="s">
        <v>5</v>
      </c>
      <c r="B3" s="5">
        <v>2230</v>
      </c>
      <c r="C3" s="5">
        <v>2820</v>
      </c>
      <c r="D3" s="5">
        <v>3130</v>
      </c>
      <c r="G3" s="17" t="s">
        <v>6</v>
      </c>
      <c r="H3" s="17"/>
      <c r="I3" s="17"/>
      <c r="J3" s="17"/>
      <c r="K3" s="17"/>
      <c r="L3" s="17"/>
      <c r="M3" s="17"/>
      <c r="N3" s="17"/>
      <c r="O3" s="17"/>
    </row>
    <row r="4" ht="17.75" spans="1:15">
      <c r="A4" s="5" t="s">
        <v>7</v>
      </c>
      <c r="B4" s="5">
        <v>2170</v>
      </c>
      <c r="C4" s="5">
        <v>2780</v>
      </c>
      <c r="D4" s="5">
        <v>3070</v>
      </c>
      <c r="G4" s="17"/>
      <c r="H4" s="17"/>
      <c r="I4" s="17"/>
      <c r="J4" s="17"/>
      <c r="K4" s="17"/>
      <c r="L4" s="17"/>
      <c r="M4" s="17"/>
      <c r="N4" s="17"/>
      <c r="O4" s="17"/>
    </row>
    <row r="5" ht="17" spans="1:15">
      <c r="A5" s="5" t="s">
        <v>8</v>
      </c>
      <c r="B5" s="5">
        <v>2160</v>
      </c>
      <c r="C5" s="5">
        <v>2760</v>
      </c>
      <c r="D5" s="5">
        <v>3070</v>
      </c>
      <c r="G5" s="18" t="s">
        <v>9</v>
      </c>
      <c r="H5" s="18"/>
      <c r="I5" s="17"/>
      <c r="J5" s="17"/>
      <c r="K5" s="17"/>
      <c r="L5" s="17"/>
      <c r="M5" s="17"/>
      <c r="N5" s="17"/>
      <c r="O5" s="17"/>
    </row>
    <row r="6" ht="17" spans="1:15">
      <c r="A6" s="5" t="s">
        <v>10</v>
      </c>
      <c r="B6" s="5">
        <v>2140</v>
      </c>
      <c r="C6" s="5">
        <v>2740</v>
      </c>
      <c r="D6" s="5">
        <v>3030</v>
      </c>
      <c r="G6" s="19" t="s">
        <v>11</v>
      </c>
      <c r="H6" s="19">
        <v>0.955759806681281</v>
      </c>
      <c r="I6" s="17"/>
      <c r="J6" s="17"/>
      <c r="K6" s="17"/>
      <c r="L6" s="17"/>
      <c r="M6" s="17"/>
      <c r="N6" s="17"/>
      <c r="O6" s="17"/>
    </row>
    <row r="7" ht="17" spans="1:15">
      <c r="A7" s="5" t="s">
        <v>12</v>
      </c>
      <c r="B7" s="5">
        <v>2090</v>
      </c>
      <c r="C7" s="5">
        <v>2680</v>
      </c>
      <c r="D7" s="5">
        <v>2990</v>
      </c>
      <c r="G7" s="20" t="s">
        <v>13</v>
      </c>
      <c r="H7" s="20">
        <v>0.91347680806744</v>
      </c>
      <c r="I7" s="17"/>
      <c r="J7" s="17"/>
      <c r="K7" s="17"/>
      <c r="L7" s="17"/>
      <c r="M7" s="17"/>
      <c r="N7" s="17"/>
      <c r="O7" s="17"/>
    </row>
    <row r="8" ht="17" spans="1:15">
      <c r="A8" s="5" t="s">
        <v>14</v>
      </c>
      <c r="B8" s="5">
        <v>2010</v>
      </c>
      <c r="C8" s="5">
        <v>2620</v>
      </c>
      <c r="D8" s="5">
        <v>2810</v>
      </c>
      <c r="G8" s="20" t="s">
        <v>15</v>
      </c>
      <c r="H8" s="20">
        <v>0.8918460100843</v>
      </c>
      <c r="I8" s="17"/>
      <c r="J8" s="17"/>
      <c r="K8" s="17"/>
      <c r="L8" s="17"/>
      <c r="M8" s="17"/>
      <c r="N8" s="17"/>
      <c r="O8" s="17"/>
    </row>
    <row r="9" spans="7:15">
      <c r="G9" s="19" t="s">
        <v>16</v>
      </c>
      <c r="H9" s="19">
        <v>3447.33021513019</v>
      </c>
      <c r="I9" s="17"/>
      <c r="J9" s="17"/>
      <c r="K9" s="17"/>
      <c r="L9" s="17"/>
      <c r="M9" s="17"/>
      <c r="N9" s="17"/>
      <c r="O9" s="17"/>
    </row>
    <row r="10" ht="17.55" spans="7:15">
      <c r="G10" s="21" t="s">
        <v>17</v>
      </c>
      <c r="H10" s="21">
        <v>6</v>
      </c>
      <c r="I10" s="17"/>
      <c r="J10" s="17"/>
      <c r="K10" s="17"/>
      <c r="L10" s="17"/>
      <c r="M10" s="17"/>
      <c r="N10" s="17"/>
      <c r="O10" s="17"/>
    </row>
    <row r="11" ht="13.5" customHeight="1" spans="1:15">
      <c r="A11" s="12" t="s">
        <v>18</v>
      </c>
      <c r="B11" s="12"/>
      <c r="C11" s="12"/>
      <c r="D11" s="12"/>
      <c r="E11" s="12"/>
      <c r="G11" s="17"/>
      <c r="H11" s="17"/>
      <c r="I11" s="17"/>
      <c r="J11" s="17"/>
      <c r="K11" s="17"/>
      <c r="L11" s="17"/>
      <c r="M11" s="17"/>
      <c r="N11" s="17"/>
      <c r="O11" s="17"/>
    </row>
    <row r="12" ht="17.75" spans="1:15">
      <c r="A12" s="3" t="s">
        <v>1</v>
      </c>
      <c r="B12" s="3" t="s">
        <v>19</v>
      </c>
      <c r="C12" s="3" t="s">
        <v>20</v>
      </c>
      <c r="D12" s="3" t="s">
        <v>21</v>
      </c>
      <c r="G12" s="17" t="s">
        <v>22</v>
      </c>
      <c r="H12" s="17"/>
      <c r="I12" s="17"/>
      <c r="J12" s="17"/>
      <c r="K12" s="17"/>
      <c r="L12" s="17"/>
      <c r="M12" s="17"/>
      <c r="N12" s="17"/>
      <c r="O12" s="17"/>
    </row>
    <row r="13" ht="17" spans="1:15">
      <c r="A13" s="3" t="s">
        <v>5</v>
      </c>
      <c r="B13" s="10">
        <v>6360</v>
      </c>
      <c r="C13" s="3">
        <v>5985</v>
      </c>
      <c r="D13" s="3">
        <v>2175</v>
      </c>
      <c r="G13" s="18"/>
      <c r="H13" s="18" t="s">
        <v>23</v>
      </c>
      <c r="I13" s="18" t="s">
        <v>24</v>
      </c>
      <c r="J13" s="18" t="s">
        <v>25</v>
      </c>
      <c r="K13" s="18" t="s">
        <v>26</v>
      </c>
      <c r="L13" s="28" t="s">
        <v>27</v>
      </c>
      <c r="M13" s="17"/>
      <c r="N13" s="17"/>
      <c r="O13" s="17"/>
    </row>
    <row r="14" ht="17" spans="1:15">
      <c r="A14" s="3" t="s">
        <v>7</v>
      </c>
      <c r="B14" s="3">
        <v>14840</v>
      </c>
      <c r="C14" s="3">
        <v>13965</v>
      </c>
      <c r="D14" s="3">
        <v>5075</v>
      </c>
      <c r="G14" s="19" t="s">
        <v>28</v>
      </c>
      <c r="H14" s="19">
        <v>1</v>
      </c>
      <c r="I14" s="19">
        <v>501869445.604735</v>
      </c>
      <c r="J14" s="19">
        <v>501869445.604735</v>
      </c>
      <c r="K14" s="19">
        <v>42.2303795162546</v>
      </c>
      <c r="L14" s="20">
        <v>0.00289249872126336</v>
      </c>
      <c r="M14" s="17"/>
      <c r="N14" s="17"/>
      <c r="O14" s="17"/>
    </row>
    <row r="15" ht="17" spans="1:15">
      <c r="A15" s="3" t="s">
        <v>8</v>
      </c>
      <c r="B15" s="3">
        <v>20924.4</v>
      </c>
      <c r="C15" s="3">
        <v>19690.65</v>
      </c>
      <c r="D15" s="3">
        <v>7155.75</v>
      </c>
      <c r="G15" s="19" t="s">
        <v>29</v>
      </c>
      <c r="H15" s="19">
        <v>4</v>
      </c>
      <c r="I15" s="19">
        <v>47536342.4485981</v>
      </c>
      <c r="J15" s="19">
        <v>11884085.6121495</v>
      </c>
      <c r="K15" s="19"/>
      <c r="L15" s="19"/>
      <c r="M15" s="17"/>
      <c r="N15" s="17"/>
      <c r="O15" s="17"/>
    </row>
    <row r="16" ht="17.75" spans="1:15">
      <c r="A16" s="3" t="s">
        <v>10</v>
      </c>
      <c r="B16" s="3">
        <v>23595.6</v>
      </c>
      <c r="C16" s="3">
        <v>22204.35</v>
      </c>
      <c r="D16" s="3">
        <v>8069.25</v>
      </c>
      <c r="G16" s="21" t="s">
        <v>30</v>
      </c>
      <c r="H16" s="21">
        <v>5</v>
      </c>
      <c r="I16" s="21">
        <v>549405788.053333</v>
      </c>
      <c r="J16" s="21"/>
      <c r="K16" s="21"/>
      <c r="L16" s="21"/>
      <c r="M16" s="17"/>
      <c r="N16" s="17"/>
      <c r="O16" s="17"/>
    </row>
    <row r="17" ht="17.75" spans="1:15">
      <c r="A17" s="3" t="s">
        <v>12</v>
      </c>
      <c r="B17" s="3">
        <v>31020</v>
      </c>
      <c r="C17" s="3">
        <v>29610</v>
      </c>
      <c r="D17" s="3">
        <v>11280</v>
      </c>
      <c r="G17" s="17"/>
      <c r="H17" s="17"/>
      <c r="I17" s="17"/>
      <c r="J17" s="17"/>
      <c r="K17" s="17"/>
      <c r="L17" s="17"/>
      <c r="M17" s="17"/>
      <c r="N17" s="17"/>
      <c r="O17" s="17"/>
    </row>
    <row r="18" ht="17" spans="1:15">
      <c r="A18" s="3" t="s">
        <v>14</v>
      </c>
      <c r="B18" s="3">
        <v>34980</v>
      </c>
      <c r="C18" s="3">
        <v>33390</v>
      </c>
      <c r="D18" s="3">
        <v>12720</v>
      </c>
      <c r="G18" s="18"/>
      <c r="H18" s="18" t="s">
        <v>31</v>
      </c>
      <c r="I18" s="18" t="s">
        <v>16</v>
      </c>
      <c r="J18" s="18" t="s">
        <v>32</v>
      </c>
      <c r="K18" s="28" t="s">
        <v>33</v>
      </c>
      <c r="L18" s="18" t="s">
        <v>34</v>
      </c>
      <c r="M18" s="18" t="s">
        <v>35</v>
      </c>
      <c r="N18" s="18" t="s">
        <v>36</v>
      </c>
      <c r="O18" s="18" t="s">
        <v>37</v>
      </c>
    </row>
    <row r="19" spans="7:15">
      <c r="G19" s="19" t="s">
        <v>38</v>
      </c>
      <c r="H19" s="19">
        <v>304882.579439252</v>
      </c>
      <c r="I19" s="19">
        <v>43560.4275358953</v>
      </c>
      <c r="J19" s="19">
        <v>6.99907224712196</v>
      </c>
      <c r="K19" s="20">
        <v>0.00219321895476916</v>
      </c>
      <c r="L19" s="19">
        <v>183939.443626893</v>
      </c>
      <c r="M19" s="19">
        <v>425825.715251612</v>
      </c>
      <c r="N19" s="19">
        <v>183939.443626893</v>
      </c>
      <c r="O19" s="19">
        <v>425825.715251612</v>
      </c>
    </row>
    <row r="20" ht="17.55" spans="7:15">
      <c r="G20" s="21" t="s">
        <v>39</v>
      </c>
      <c r="H20" s="21">
        <v>-132.62308411215</v>
      </c>
      <c r="I20" s="21">
        <v>20.4082906567063</v>
      </c>
      <c r="J20" s="21">
        <v>-6.49849055675659</v>
      </c>
      <c r="K20" s="29">
        <v>0.00289249872126336</v>
      </c>
      <c r="L20" s="21">
        <v>-189.285582811416</v>
      </c>
      <c r="M20" s="21">
        <v>-75.9605854128835</v>
      </c>
      <c r="N20" s="21">
        <v>-189.285582811416</v>
      </c>
      <c r="O20" s="21">
        <v>-75.9605854128835</v>
      </c>
    </row>
    <row r="21" ht="13.5" customHeight="1" spans="1:15">
      <c r="A21" s="12" t="s">
        <v>40</v>
      </c>
      <c r="B21" s="12"/>
      <c r="C21" s="12"/>
      <c r="D21" s="12"/>
      <c r="E21" s="12"/>
      <c r="G21"/>
      <c r="H21"/>
      <c r="I21"/>
      <c r="J21"/>
      <c r="K21"/>
      <c r="L21"/>
      <c r="M21"/>
      <c r="N21"/>
      <c r="O21"/>
    </row>
    <row r="22" spans="1:16">
      <c r="A22" s="6"/>
      <c r="B22" s="6">
        <v>2022</v>
      </c>
      <c r="C22" s="6">
        <v>2023</v>
      </c>
      <c r="D22" s="6">
        <v>2024</v>
      </c>
      <c r="E22" s="6">
        <v>2025</v>
      </c>
      <c r="G22" s="22"/>
      <c r="H22" s="22"/>
      <c r="I22" s="22"/>
      <c r="J22" s="22"/>
      <c r="K22" s="22"/>
      <c r="L22" s="22"/>
      <c r="M22" s="22"/>
      <c r="N22" s="22"/>
      <c r="O22" s="22"/>
      <c r="P22" s="31"/>
    </row>
    <row r="23" spans="1:16">
      <c r="A23" s="6" t="s">
        <v>41</v>
      </c>
      <c r="B23" s="6">
        <v>0.53</v>
      </c>
      <c r="C23" s="6">
        <v>0.53</v>
      </c>
      <c r="D23" s="6">
        <v>0.53</v>
      </c>
      <c r="E23" s="6">
        <v>0.51</v>
      </c>
      <c r="G23" s="23" t="s">
        <v>6</v>
      </c>
      <c r="H23" s="23"/>
      <c r="I23" s="23"/>
      <c r="J23" s="23"/>
      <c r="K23" s="23"/>
      <c r="L23" s="23"/>
      <c r="M23" s="23"/>
      <c r="N23" s="23"/>
      <c r="O23" s="23"/>
      <c r="P23" s="31"/>
    </row>
    <row r="24" ht="17.55" spans="1:16">
      <c r="A24" s="6" t="s">
        <v>42</v>
      </c>
      <c r="B24" s="6">
        <v>0.57</v>
      </c>
      <c r="C24" s="6">
        <v>0.57</v>
      </c>
      <c r="D24" s="6">
        <v>0.57</v>
      </c>
      <c r="E24" s="6">
        <v>0.62</v>
      </c>
      <c r="G24" s="23"/>
      <c r="H24" s="23"/>
      <c r="I24" s="23"/>
      <c r="J24" s="23"/>
      <c r="K24" s="23"/>
      <c r="L24" s="23"/>
      <c r="M24" s="23"/>
      <c r="N24" s="23"/>
      <c r="O24" s="23"/>
      <c r="P24" s="31"/>
    </row>
    <row r="25" spans="1:16">
      <c r="A25" s="6" t="s">
        <v>43</v>
      </c>
      <c r="B25" s="6">
        <v>0.29</v>
      </c>
      <c r="C25" s="6">
        <v>0.29</v>
      </c>
      <c r="D25" s="6">
        <v>0.29</v>
      </c>
      <c r="E25" s="6">
        <v>0.26</v>
      </c>
      <c r="G25" s="24" t="s">
        <v>9</v>
      </c>
      <c r="H25" s="24"/>
      <c r="I25" s="23"/>
      <c r="J25" s="23"/>
      <c r="K25" s="23"/>
      <c r="L25" s="23"/>
      <c r="M25" s="23"/>
      <c r="N25" s="23"/>
      <c r="O25" s="23"/>
      <c r="P25" s="31"/>
    </row>
    <row r="26" ht="17" spans="1:16">
      <c r="A26" s="5" t="s">
        <v>44</v>
      </c>
      <c r="B26" s="5" t="s">
        <v>45</v>
      </c>
      <c r="C26" s="5" t="s">
        <v>46</v>
      </c>
      <c r="D26" s="5" t="s">
        <v>47</v>
      </c>
      <c r="E26" s="5" t="s">
        <v>48</v>
      </c>
      <c r="G26" s="25" t="s">
        <v>11</v>
      </c>
      <c r="H26" s="25">
        <v>0.968408599501974</v>
      </c>
      <c r="I26" s="23"/>
      <c r="J26" s="23"/>
      <c r="K26" s="23"/>
      <c r="L26" s="23"/>
      <c r="M26" s="23"/>
      <c r="N26" s="23"/>
      <c r="O26" s="23"/>
      <c r="P26" s="31"/>
    </row>
    <row r="27" ht="34" spans="1:16">
      <c r="A27" s="13" t="s">
        <v>49</v>
      </c>
      <c r="B27" s="14" t="s">
        <v>50</v>
      </c>
      <c r="C27" s="13" t="s">
        <v>51</v>
      </c>
      <c r="D27" s="13" t="s">
        <v>52</v>
      </c>
      <c r="G27" s="26" t="s">
        <v>13</v>
      </c>
      <c r="H27" s="26">
        <v>0.937815215589374</v>
      </c>
      <c r="I27" s="23"/>
      <c r="J27" s="23"/>
      <c r="K27" s="23"/>
      <c r="L27" s="23"/>
      <c r="M27" s="23"/>
      <c r="N27" s="23"/>
      <c r="O27" s="23"/>
      <c r="P27" s="31"/>
    </row>
    <row r="28" ht="17" spans="1:16">
      <c r="A28" s="13" t="s">
        <v>53</v>
      </c>
      <c r="B28" s="15">
        <v>5724</v>
      </c>
      <c r="C28" s="15">
        <v>8117.5</v>
      </c>
      <c r="D28" s="15">
        <v>10195.8222222222</v>
      </c>
      <c r="G28" s="26" t="s">
        <v>15</v>
      </c>
      <c r="H28" s="26">
        <v>0.922269019486717</v>
      </c>
      <c r="I28" s="23"/>
      <c r="J28" s="23"/>
      <c r="K28" s="23"/>
      <c r="L28" s="23"/>
      <c r="M28" s="23"/>
      <c r="N28" s="23"/>
      <c r="O28" s="23"/>
      <c r="P28" s="31"/>
    </row>
    <row r="29" ht="17" spans="1:16">
      <c r="A29" s="13" t="s">
        <v>54</v>
      </c>
      <c r="B29" s="15">
        <v>37373789.632</v>
      </c>
      <c r="C29" s="15">
        <v>68709106.94</v>
      </c>
      <c r="D29" s="15">
        <v>104503080.50963</v>
      </c>
      <c r="G29" s="25" t="s">
        <v>16</v>
      </c>
      <c r="H29" s="25">
        <v>2803.39794682832</v>
      </c>
      <c r="I29" s="23"/>
      <c r="J29" s="23"/>
      <c r="K29" s="23"/>
      <c r="L29" s="23"/>
      <c r="M29" s="23"/>
      <c r="N29" s="23"/>
      <c r="O29" s="23"/>
      <c r="P29" s="31"/>
    </row>
    <row r="30" ht="17.75" spans="1:16">
      <c r="A30" s="13" t="s">
        <v>55</v>
      </c>
      <c r="B30" s="15">
        <v>26.5593233476011</v>
      </c>
      <c r="C30" s="15">
        <v>30.932056268367</v>
      </c>
      <c r="D30" s="15">
        <v>34.9067899850718</v>
      </c>
      <c r="G30" s="27" t="s">
        <v>17</v>
      </c>
      <c r="H30" s="27">
        <v>6</v>
      </c>
      <c r="I30" s="23"/>
      <c r="J30" s="23"/>
      <c r="K30" s="23"/>
      <c r="L30" s="23"/>
      <c r="M30" s="23"/>
      <c r="N30" s="23"/>
      <c r="O30" s="23"/>
      <c r="P30" s="31"/>
    </row>
    <row r="31" spans="1:16">
      <c r="A31" s="13"/>
      <c r="B31" s="15"/>
      <c r="C31" s="15"/>
      <c r="D31" s="15"/>
      <c r="G31" s="23"/>
      <c r="H31" s="23"/>
      <c r="I31" s="23"/>
      <c r="J31" s="23"/>
      <c r="K31" s="23"/>
      <c r="L31" s="23"/>
      <c r="M31" s="23"/>
      <c r="N31" s="23"/>
      <c r="O31" s="23"/>
      <c r="P31" s="31"/>
    </row>
    <row r="32" ht="34.75" spans="1:16">
      <c r="A32" s="13" t="s">
        <v>56</v>
      </c>
      <c r="B32" s="14" t="s">
        <v>50</v>
      </c>
      <c r="C32" s="13" t="s">
        <v>51</v>
      </c>
      <c r="D32" s="13" t="s">
        <v>52</v>
      </c>
      <c r="G32" s="23" t="s">
        <v>22</v>
      </c>
      <c r="H32" s="23"/>
      <c r="I32" s="23"/>
      <c r="J32" s="23"/>
      <c r="K32" s="23"/>
      <c r="L32" s="23"/>
      <c r="M32" s="23"/>
      <c r="N32" s="23"/>
      <c r="O32" s="23"/>
      <c r="P32" s="31"/>
    </row>
    <row r="33" ht="17" spans="1:16">
      <c r="A33" s="13" t="s">
        <v>53</v>
      </c>
      <c r="B33" s="15">
        <v>5481</v>
      </c>
      <c r="C33" s="15">
        <v>7809.375</v>
      </c>
      <c r="D33" s="15">
        <v>9845.26666666666</v>
      </c>
      <c r="G33" s="18"/>
      <c r="H33" s="18" t="s">
        <v>23</v>
      </c>
      <c r="I33" s="18" t="s">
        <v>24</v>
      </c>
      <c r="J33" s="18" t="s">
        <v>25</v>
      </c>
      <c r="K33" s="18" t="s">
        <v>26</v>
      </c>
      <c r="L33" s="28" t="s">
        <v>27</v>
      </c>
      <c r="M33" s="23"/>
      <c r="N33" s="23"/>
      <c r="O33" s="23"/>
      <c r="P33" s="31"/>
    </row>
    <row r="34" ht="17" spans="1:16">
      <c r="A34" s="13" t="s">
        <v>54</v>
      </c>
      <c r="B34" s="15">
        <v>34382841.507</v>
      </c>
      <c r="C34" s="15">
        <v>63583113.0571875</v>
      </c>
      <c r="D34" s="15">
        <v>97637536.5466667</v>
      </c>
      <c r="G34" s="25" t="s">
        <v>28</v>
      </c>
      <c r="H34" s="25">
        <v>1</v>
      </c>
      <c r="I34" s="25">
        <v>474092008.651875</v>
      </c>
      <c r="J34" s="25">
        <v>474092008.651875</v>
      </c>
      <c r="K34" s="25">
        <v>60.3244169439698</v>
      </c>
      <c r="L34" s="26">
        <v>0.00148126050731312</v>
      </c>
      <c r="M34" s="23"/>
      <c r="N34" s="23"/>
      <c r="O34" s="23"/>
      <c r="P34" s="31"/>
    </row>
    <row r="35" ht="17" spans="1:16">
      <c r="A35" s="13" t="s">
        <v>55</v>
      </c>
      <c r="B35" s="15">
        <v>26.7746038118178</v>
      </c>
      <c r="C35" s="15">
        <v>31.3052429221387</v>
      </c>
      <c r="D35" s="15">
        <v>35.4077854880745</v>
      </c>
      <c r="G35" s="25" t="s">
        <v>29</v>
      </c>
      <c r="H35" s="25">
        <v>4</v>
      </c>
      <c r="I35" s="25">
        <v>31436160.193125</v>
      </c>
      <c r="J35" s="25">
        <v>7859040.04828125</v>
      </c>
      <c r="K35" s="25"/>
      <c r="L35" s="25"/>
      <c r="M35" s="23"/>
      <c r="N35" s="23"/>
      <c r="O35" s="23"/>
      <c r="P35" s="31"/>
    </row>
    <row r="36" ht="17.55" spans="1:16">
      <c r="A36" s="15"/>
      <c r="B36" s="15"/>
      <c r="C36" s="15"/>
      <c r="D36" s="15"/>
      <c r="G36" s="27" t="s">
        <v>30</v>
      </c>
      <c r="H36" s="27">
        <v>5</v>
      </c>
      <c r="I36" s="27">
        <v>505528168.845</v>
      </c>
      <c r="J36" s="27"/>
      <c r="K36" s="27"/>
      <c r="L36" s="27"/>
      <c r="M36" s="23"/>
      <c r="N36" s="23"/>
      <c r="O36" s="23"/>
      <c r="P36" s="31"/>
    </row>
    <row r="37" ht="34.75" spans="1:16">
      <c r="A37" s="13" t="s">
        <v>57</v>
      </c>
      <c r="B37" s="14" t="s">
        <v>50</v>
      </c>
      <c r="C37" s="13" t="s">
        <v>51</v>
      </c>
      <c r="D37" s="13" t="s">
        <v>52</v>
      </c>
      <c r="G37" s="23"/>
      <c r="H37" s="23"/>
      <c r="I37" s="23"/>
      <c r="J37" s="23"/>
      <c r="K37" s="23"/>
      <c r="L37" s="23"/>
      <c r="M37" s="23"/>
      <c r="N37" s="23"/>
      <c r="O37" s="23"/>
      <c r="P37" s="31"/>
    </row>
    <row r="38" ht="17" spans="1:16">
      <c r="A38" s="13" t="s">
        <v>53</v>
      </c>
      <c r="B38" s="15">
        <v>2109</v>
      </c>
      <c r="C38" s="15">
        <v>3049.375</v>
      </c>
      <c r="D38" s="15">
        <v>3888.55555555556</v>
      </c>
      <c r="G38" s="18"/>
      <c r="H38" s="18" t="s">
        <v>31</v>
      </c>
      <c r="I38" s="18" t="s">
        <v>16</v>
      </c>
      <c r="J38" s="18" t="s">
        <v>32</v>
      </c>
      <c r="K38" s="28" t="s">
        <v>33</v>
      </c>
      <c r="L38" s="18" t="s">
        <v>34</v>
      </c>
      <c r="M38" s="18" t="s">
        <v>35</v>
      </c>
      <c r="N38" s="18" t="s">
        <v>36</v>
      </c>
      <c r="O38" s="18" t="s">
        <v>37</v>
      </c>
      <c r="P38" s="31"/>
    </row>
    <row r="39" ht="17" spans="1:16">
      <c r="A39" s="13" t="s">
        <v>54</v>
      </c>
      <c r="B39" s="15">
        <v>5191303.675</v>
      </c>
      <c r="C39" s="15">
        <v>9752172.0546875</v>
      </c>
      <c r="D39" s="15">
        <v>15379623.2962963</v>
      </c>
      <c r="G39" s="25" t="s">
        <v>38</v>
      </c>
      <c r="H39" s="25">
        <v>388958.946428571</v>
      </c>
      <c r="I39" s="25">
        <v>47413.9897629325</v>
      </c>
      <c r="J39" s="25">
        <v>8.20346375349017</v>
      </c>
      <c r="K39" s="26">
        <v>0.00120314813193538</v>
      </c>
      <c r="L39" s="25">
        <v>257316.606633379</v>
      </c>
      <c r="M39" s="25">
        <v>520601.286223764</v>
      </c>
      <c r="N39" s="25">
        <v>257316.606633379</v>
      </c>
      <c r="O39" s="25">
        <v>520601.286223764</v>
      </c>
      <c r="P39" s="31"/>
    </row>
    <row r="40" ht="17.75" spans="1:16">
      <c r="A40" s="13" t="s">
        <v>55</v>
      </c>
      <c r="B40" s="15">
        <v>27.4652953011795</v>
      </c>
      <c r="C40" s="15">
        <v>32.5025501029898</v>
      </c>
      <c r="D40" s="15">
        <v>37.0151460602083</v>
      </c>
      <c r="G40" s="27" t="s">
        <v>58</v>
      </c>
      <c r="H40" s="27">
        <v>-134.689553571429</v>
      </c>
      <c r="I40" s="27">
        <v>17.3415274205033</v>
      </c>
      <c r="J40" s="27">
        <v>-7.76687948560874</v>
      </c>
      <c r="K40" s="30">
        <v>0.00148126050731312</v>
      </c>
      <c r="L40" s="27">
        <v>-182.837352494738</v>
      </c>
      <c r="M40" s="27">
        <v>-86.5417546481188</v>
      </c>
      <c r="N40" s="27">
        <v>-182.837352494738</v>
      </c>
      <c r="O40" s="27">
        <v>-86.5417546481188</v>
      </c>
      <c r="P40" s="31"/>
    </row>
    <row r="41" spans="1:16">
      <c r="A41" s="15"/>
      <c r="B41" s="15"/>
      <c r="C41" s="15"/>
      <c r="D41" s="15"/>
      <c r="G41" s="23"/>
      <c r="H41" s="23"/>
      <c r="I41" s="23"/>
      <c r="J41" s="23"/>
      <c r="K41" s="23"/>
      <c r="L41" s="23"/>
      <c r="M41" s="23"/>
      <c r="N41" s="23"/>
      <c r="O41" s="23"/>
      <c r="P41" s="31"/>
    </row>
    <row r="42" ht="34" spans="1:16">
      <c r="A42" s="13" t="s">
        <v>59</v>
      </c>
      <c r="B42" s="13" t="s">
        <v>50</v>
      </c>
      <c r="C42" s="13" t="s">
        <v>51</v>
      </c>
      <c r="D42" s="13" t="s">
        <v>52</v>
      </c>
      <c r="G42" s="22"/>
      <c r="H42" s="22"/>
      <c r="I42" s="22"/>
      <c r="J42" s="22"/>
      <c r="K42" s="22"/>
      <c r="L42" s="22"/>
      <c r="M42" s="22"/>
      <c r="N42" s="22"/>
      <c r="O42" s="22"/>
      <c r="P42" s="31"/>
    </row>
    <row r="43" ht="17" spans="1:15">
      <c r="A43" s="13" t="s">
        <v>53</v>
      </c>
      <c r="B43" s="15">
        <v>44</v>
      </c>
      <c r="C43" s="15">
        <v>57.5</v>
      </c>
      <c r="D43" s="15">
        <v>77.7777777777777</v>
      </c>
      <c r="G43"/>
      <c r="H43"/>
      <c r="I43"/>
      <c r="J43"/>
      <c r="K43"/>
      <c r="L43"/>
      <c r="M43"/>
      <c r="N43"/>
      <c r="O43"/>
    </row>
    <row r="44" ht="17" spans="1:4">
      <c r="A44" s="13" t="s">
        <v>54</v>
      </c>
      <c r="B44" s="15">
        <v>2600</v>
      </c>
      <c r="C44" s="15">
        <v>4212.5</v>
      </c>
      <c r="D44" s="15">
        <v>7007.4074074074</v>
      </c>
    </row>
    <row r="45" ht="17" spans="1:16">
      <c r="A45" s="13" t="s">
        <v>55</v>
      </c>
      <c r="B45" s="15">
        <v>0.0210699267216717</v>
      </c>
      <c r="C45" s="15">
        <v>0.0277869253626535</v>
      </c>
      <c r="D45" s="15">
        <v>0.0378020909182122</v>
      </c>
      <c r="G45" s="22" t="s">
        <v>6</v>
      </c>
      <c r="H45" s="22"/>
      <c r="I45" s="22"/>
      <c r="J45" s="22"/>
      <c r="K45" s="22"/>
      <c r="L45" s="22"/>
      <c r="M45" s="22"/>
      <c r="N45" s="22"/>
      <c r="O45" s="22"/>
      <c r="P45" s="31"/>
    </row>
    <row r="46" ht="17.55" spans="1:16">
      <c r="A46" s="15"/>
      <c r="B46" s="15"/>
      <c r="C46" s="15"/>
      <c r="D46" s="15"/>
      <c r="G46" s="22"/>
      <c r="H46" s="22"/>
      <c r="I46" s="22"/>
      <c r="J46" s="22"/>
      <c r="K46" s="22"/>
      <c r="L46" s="22"/>
      <c r="M46" s="22"/>
      <c r="N46" s="22"/>
      <c r="O46" s="22"/>
      <c r="P46" s="31"/>
    </row>
    <row r="47" ht="34" spans="1:16">
      <c r="A47" s="13" t="s">
        <v>60</v>
      </c>
      <c r="B47" s="13" t="s">
        <v>50</v>
      </c>
      <c r="C47" s="13" t="s">
        <v>51</v>
      </c>
      <c r="D47" s="13" t="s">
        <v>52</v>
      </c>
      <c r="G47" s="24" t="s">
        <v>9</v>
      </c>
      <c r="H47" s="24"/>
      <c r="I47" s="22"/>
      <c r="J47" s="22"/>
      <c r="K47" s="22"/>
      <c r="L47" s="22"/>
      <c r="M47" s="22"/>
      <c r="N47" s="22"/>
      <c r="O47" s="22"/>
      <c r="P47" s="31"/>
    </row>
    <row r="48" ht="17" spans="1:16">
      <c r="A48" s="13" t="s">
        <v>53</v>
      </c>
      <c r="B48" s="15">
        <v>40</v>
      </c>
      <c r="C48" s="15">
        <v>57.5</v>
      </c>
      <c r="D48" s="15">
        <v>77.7777777777777</v>
      </c>
      <c r="G48" s="25" t="s">
        <v>11</v>
      </c>
      <c r="H48" s="25">
        <v>0.885883263765462</v>
      </c>
      <c r="I48" s="22"/>
      <c r="J48" s="22"/>
      <c r="K48" s="22"/>
      <c r="L48" s="22"/>
      <c r="M48" s="22"/>
      <c r="N48" s="22"/>
      <c r="O48" s="22"/>
      <c r="P48" s="31"/>
    </row>
    <row r="49" ht="17" spans="1:16">
      <c r="A49" s="13" t="s">
        <v>54</v>
      </c>
      <c r="B49" s="15">
        <v>1920</v>
      </c>
      <c r="C49" s="15">
        <v>3875</v>
      </c>
      <c r="D49" s="15">
        <v>6651.85185185184</v>
      </c>
      <c r="G49" s="26" t="s">
        <v>13</v>
      </c>
      <c r="H49" s="26">
        <v>0.784789157019747</v>
      </c>
      <c r="I49" s="22"/>
      <c r="J49" s="22"/>
      <c r="K49" s="22"/>
      <c r="L49" s="22"/>
      <c r="M49" s="22"/>
      <c r="N49" s="22"/>
      <c r="O49" s="22"/>
      <c r="P49" s="31"/>
    </row>
    <row r="50" ht="17" spans="1:16">
      <c r="A50" s="13" t="s">
        <v>55</v>
      </c>
      <c r="B50" s="15">
        <v>0.0148445918306982</v>
      </c>
      <c r="C50" s="15">
        <v>0.02147805168898</v>
      </c>
      <c r="D50" s="15">
        <v>0.029198281544119</v>
      </c>
      <c r="G50" s="26" t="s">
        <v>15</v>
      </c>
      <c r="H50" s="26">
        <v>0.730986446274684</v>
      </c>
      <c r="I50" s="22"/>
      <c r="J50" s="22"/>
      <c r="K50" s="22"/>
      <c r="L50" s="22"/>
      <c r="M50" s="22"/>
      <c r="N50" s="22"/>
      <c r="O50" s="22"/>
      <c r="P50" s="31"/>
    </row>
    <row r="51" spans="1:16">
      <c r="A51" s="15"/>
      <c r="B51" s="15"/>
      <c r="C51" s="15"/>
      <c r="D51" s="15"/>
      <c r="G51" s="25" t="s">
        <v>16</v>
      </c>
      <c r="H51" s="25">
        <v>2020.17251466357</v>
      </c>
      <c r="I51" s="22"/>
      <c r="J51" s="22"/>
      <c r="K51" s="22"/>
      <c r="L51" s="22"/>
      <c r="M51" s="22"/>
      <c r="N51" s="22"/>
      <c r="O51" s="22"/>
      <c r="P51" s="31"/>
    </row>
    <row r="52" ht="34.75" spans="1:16">
      <c r="A52" s="13" t="s">
        <v>61</v>
      </c>
      <c r="B52" s="13" t="s">
        <v>50</v>
      </c>
      <c r="C52" s="13" t="s">
        <v>51</v>
      </c>
      <c r="D52" s="13" t="s">
        <v>52</v>
      </c>
      <c r="G52" s="27" t="s">
        <v>17</v>
      </c>
      <c r="H52" s="27">
        <v>6</v>
      </c>
      <c r="I52" s="22"/>
      <c r="J52" s="22"/>
      <c r="K52" s="22"/>
      <c r="L52" s="22"/>
      <c r="M52" s="22"/>
      <c r="N52" s="22"/>
      <c r="O52" s="22"/>
      <c r="P52" s="31"/>
    </row>
    <row r="53" ht="17" spans="1:16">
      <c r="A53" s="13" t="s">
        <v>53</v>
      </c>
      <c r="B53" s="15">
        <v>64</v>
      </c>
      <c r="C53" s="15">
        <v>82.5</v>
      </c>
      <c r="D53" s="15">
        <v>86.6666666666666</v>
      </c>
      <c r="G53" s="22"/>
      <c r="H53" s="22"/>
      <c r="I53" s="22"/>
      <c r="J53" s="22"/>
      <c r="K53" s="22"/>
      <c r="L53" s="22"/>
      <c r="M53" s="22"/>
      <c r="N53" s="22"/>
      <c r="O53" s="22"/>
      <c r="P53" s="31"/>
    </row>
    <row r="54" ht="17.75" spans="1:16">
      <c r="A54" s="13" t="s">
        <v>54</v>
      </c>
      <c r="B54" s="15">
        <v>7840</v>
      </c>
      <c r="C54" s="15">
        <v>11525</v>
      </c>
      <c r="D54" s="15">
        <v>14111.1111111111</v>
      </c>
      <c r="G54" s="22" t="s">
        <v>22</v>
      </c>
      <c r="H54" s="22"/>
      <c r="I54" s="22"/>
      <c r="J54" s="22"/>
      <c r="K54" s="22"/>
      <c r="L54" s="22"/>
      <c r="M54" s="22"/>
      <c r="N54" s="22"/>
      <c r="O54" s="22"/>
      <c r="P54" s="31"/>
    </row>
    <row r="55" ht="17" spans="1:16">
      <c r="A55" s="13" t="s">
        <v>55</v>
      </c>
      <c r="B55" s="15">
        <v>0.0220360319993131</v>
      </c>
      <c r="C55" s="15">
        <v>0.0285536434897509</v>
      </c>
      <c r="D55" s="15">
        <v>0.0300975847950784</v>
      </c>
      <c r="G55" s="18"/>
      <c r="H55" s="18" t="s">
        <v>23</v>
      </c>
      <c r="I55" s="18" t="s">
        <v>24</v>
      </c>
      <c r="J55" s="18" t="s">
        <v>25</v>
      </c>
      <c r="K55" s="18" t="s">
        <v>26</v>
      </c>
      <c r="L55" s="28" t="s">
        <v>27</v>
      </c>
      <c r="M55" s="22"/>
      <c r="N55" s="22"/>
      <c r="O55" s="22"/>
      <c r="P55" s="31"/>
    </row>
    <row r="56" spans="7:16">
      <c r="G56" s="25" t="s">
        <v>28</v>
      </c>
      <c r="H56" s="25">
        <v>1</v>
      </c>
      <c r="I56" s="25">
        <v>59528611.5023248</v>
      </c>
      <c r="J56" s="25">
        <v>59528611.5023248</v>
      </c>
      <c r="K56" s="25">
        <v>14.58642410674</v>
      </c>
      <c r="L56" s="26">
        <v>0.0187908942460066</v>
      </c>
      <c r="M56" s="22"/>
      <c r="N56" s="22"/>
      <c r="O56" s="22"/>
      <c r="P56" s="31"/>
    </row>
    <row r="57" spans="7:16">
      <c r="G57" s="25" t="s">
        <v>29</v>
      </c>
      <c r="H57" s="25">
        <v>4</v>
      </c>
      <c r="I57" s="25">
        <v>16324387.9560086</v>
      </c>
      <c r="J57" s="25">
        <v>4081096.98900214</v>
      </c>
      <c r="K57" s="25"/>
      <c r="L57" s="25"/>
      <c r="M57" s="22"/>
      <c r="N57" s="22"/>
      <c r="O57" s="22"/>
      <c r="P57" s="31"/>
    </row>
    <row r="58" ht="17.55" spans="7:16">
      <c r="G58" s="27" t="s">
        <v>30</v>
      </c>
      <c r="H58" s="27">
        <v>5</v>
      </c>
      <c r="I58" s="27">
        <v>75852999.4583333</v>
      </c>
      <c r="J58" s="27"/>
      <c r="K58" s="27"/>
      <c r="L58" s="27"/>
      <c r="M58" s="22"/>
      <c r="N58" s="22"/>
      <c r="O58" s="22"/>
      <c r="P58" s="31"/>
    </row>
    <row r="59" ht="17.55" spans="7:16">
      <c r="G59" s="22"/>
      <c r="H59" s="22"/>
      <c r="I59" s="22"/>
      <c r="J59" s="22"/>
      <c r="K59" s="22"/>
      <c r="L59" s="22"/>
      <c r="M59" s="22"/>
      <c r="N59" s="22"/>
      <c r="O59" s="22"/>
      <c r="P59" s="31"/>
    </row>
    <row r="60" spans="7:16">
      <c r="G60" s="18"/>
      <c r="H60" s="18" t="s">
        <v>31</v>
      </c>
      <c r="I60" s="18" t="s">
        <v>16</v>
      </c>
      <c r="J60" s="18" t="s">
        <v>32</v>
      </c>
      <c r="K60" s="28" t="s">
        <v>33</v>
      </c>
      <c r="L60" s="18" t="s">
        <v>34</v>
      </c>
      <c r="M60" s="18" t="s">
        <v>35</v>
      </c>
      <c r="N60" s="18" t="s">
        <v>36</v>
      </c>
      <c r="O60" s="18" t="s">
        <v>37</v>
      </c>
      <c r="P60" s="31"/>
    </row>
    <row r="61" spans="7:16">
      <c r="G61" s="25" t="s">
        <v>38</v>
      </c>
      <c r="H61" s="25">
        <v>101120.244098712</v>
      </c>
      <c r="I61" s="25">
        <v>24462.4761688099</v>
      </c>
      <c r="J61" s="25">
        <v>4.13368799629707</v>
      </c>
      <c r="K61" s="26">
        <v>0.0144504784487361</v>
      </c>
      <c r="L61" s="25">
        <v>33201.5218788026</v>
      </c>
      <c r="M61" s="25">
        <v>169038.966318622</v>
      </c>
      <c r="N61" s="25">
        <v>33201.5218788026</v>
      </c>
      <c r="O61" s="25">
        <v>169038.966318622</v>
      </c>
      <c r="P61" s="31"/>
    </row>
    <row r="62" ht="17.55" spans="7:16">
      <c r="G62" s="27" t="s">
        <v>62</v>
      </c>
      <c r="H62" s="27">
        <v>-30.9528433476395</v>
      </c>
      <c r="I62" s="27">
        <v>8.10449822344956</v>
      </c>
      <c r="J62" s="27">
        <v>-3.81921773492164</v>
      </c>
      <c r="K62" s="30">
        <v>0.0187908942460066</v>
      </c>
      <c r="L62" s="27">
        <v>-53.4545377702202</v>
      </c>
      <c r="M62" s="27">
        <v>-8.45114892505873</v>
      </c>
      <c r="N62" s="27">
        <v>-53.4545377702202</v>
      </c>
      <c r="O62" s="27">
        <v>-8.45114892505873</v>
      </c>
      <c r="P62" s="31"/>
    </row>
    <row r="63" spans="7:16">
      <c r="G63" s="22"/>
      <c r="H63" s="22"/>
      <c r="I63" s="22"/>
      <c r="J63" s="22"/>
      <c r="K63" s="22"/>
      <c r="L63" s="22"/>
      <c r="M63" s="22"/>
      <c r="N63" s="22"/>
      <c r="O63" s="22"/>
      <c r="P63" s="31"/>
    </row>
    <row r="64" spans="7:16">
      <c r="G64" s="22"/>
      <c r="H64" s="22"/>
      <c r="I64" s="22"/>
      <c r="J64" s="22"/>
      <c r="K64" s="22"/>
      <c r="L64" s="22"/>
      <c r="M64" s="22"/>
      <c r="N64" s="22"/>
      <c r="O64" s="22"/>
      <c r="P64" s="31"/>
    </row>
    <row r="65" spans="7:15">
      <c r="G65"/>
      <c r="H65"/>
      <c r="I65"/>
      <c r="J65"/>
      <c r="K65"/>
      <c r="L65"/>
      <c r="M65"/>
      <c r="N65"/>
      <c r="O65"/>
    </row>
  </sheetData>
  <mergeCells count="3">
    <mergeCell ref="A1:D1"/>
    <mergeCell ref="A11:E11"/>
    <mergeCell ref="A21:E21"/>
  </mergeCells>
  <pageMargins left="0.75" right="0.75" top="1" bottom="1" header="0.5" footer="0.5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zoomScale="109" zoomScaleNormal="109" workbookViewId="0">
      <selection activeCell="H22" sqref="H22"/>
    </sheetView>
  </sheetViews>
  <sheetFormatPr defaultColWidth="9" defaultRowHeight="16.8" outlineLevelCol="7"/>
  <cols>
    <col min="1" max="1" width="9.06730769230769" customWidth="1"/>
    <col min="2" max="2" width="12.5288461538462" customWidth="1"/>
    <col min="4" max="4" width="9.06730769230769" style="5" customWidth="1"/>
    <col min="5" max="5" width="10.5288461538462" customWidth="1"/>
    <col min="8" max="8" width="12.7307692307692" customWidth="1"/>
  </cols>
  <sheetData>
    <row r="1" spans="1:8">
      <c r="A1" s="1" t="s">
        <v>63</v>
      </c>
      <c r="B1" s="1"/>
      <c r="C1" s="1"/>
      <c r="D1" s="1"/>
      <c r="E1" s="1"/>
      <c r="F1" s="1"/>
      <c r="G1" s="1"/>
      <c r="H1" s="1"/>
    </row>
    <row r="2" ht="68" spans="1:8">
      <c r="A2" s="2" t="s">
        <v>1</v>
      </c>
      <c r="B2" s="3" t="s">
        <v>19</v>
      </c>
      <c r="C2" s="4" t="s">
        <v>64</v>
      </c>
      <c r="D2" s="2" t="s">
        <v>65</v>
      </c>
      <c r="E2" s="2" t="s">
        <v>66</v>
      </c>
      <c r="F2" s="2" t="s">
        <v>67</v>
      </c>
      <c r="G2" s="2" t="s">
        <v>68</v>
      </c>
      <c r="H2" s="2" t="s">
        <v>69</v>
      </c>
    </row>
    <row r="3" ht="17" spans="1:8">
      <c r="A3" s="5" t="s">
        <v>5</v>
      </c>
      <c r="B3" s="10">
        <v>6360</v>
      </c>
      <c r="C3" s="6"/>
      <c r="E3" s="6"/>
      <c r="F3" s="6"/>
      <c r="G3" s="6"/>
      <c r="H3" s="6"/>
    </row>
    <row r="4" ht="17" spans="1:8">
      <c r="A4" s="5" t="s">
        <v>7</v>
      </c>
      <c r="B4" s="3">
        <v>14840</v>
      </c>
      <c r="C4" s="6">
        <f>B3</f>
        <v>6360</v>
      </c>
      <c r="D4" s="5">
        <f>B4-C4</f>
        <v>8480</v>
      </c>
      <c r="E4" s="6">
        <f>ABS(D4)</f>
        <v>8480</v>
      </c>
      <c r="F4" s="6">
        <f>E4^2</f>
        <v>71910400</v>
      </c>
      <c r="G4" s="6">
        <f>D4/B4*100</f>
        <v>57.1428571428571</v>
      </c>
      <c r="H4" s="6">
        <f>ABS(G4)</f>
        <v>57.1428571428571</v>
      </c>
    </row>
    <row r="5" ht="17" spans="1:8">
      <c r="A5" s="5" t="s">
        <v>8</v>
      </c>
      <c r="B5" s="3">
        <v>20924.4</v>
      </c>
      <c r="C5" s="6">
        <f t="shared" ref="C5:C8" si="0">B4</f>
        <v>14840</v>
      </c>
      <c r="D5" s="5">
        <f t="shared" ref="D5:D8" si="1">B5-C5</f>
        <v>6084.4</v>
      </c>
      <c r="E5" s="6">
        <f t="shared" ref="E5:E8" si="2">ABS(D5)</f>
        <v>6084.4</v>
      </c>
      <c r="F5" s="6">
        <f t="shared" ref="F5:F8" si="3">E5^2</f>
        <v>37019923.36</v>
      </c>
      <c r="G5" s="6">
        <f t="shared" ref="G5:G8" si="4">D5/B5*100</f>
        <v>29.0780141843972</v>
      </c>
      <c r="H5" s="6">
        <f t="shared" ref="H5:H8" si="5">ABS(G5)</f>
        <v>29.0780141843972</v>
      </c>
    </row>
    <row r="6" ht="17" spans="1:8">
      <c r="A6" s="5" t="s">
        <v>10</v>
      </c>
      <c r="B6" s="3">
        <v>23595.6</v>
      </c>
      <c r="C6" s="6">
        <f t="shared" si="0"/>
        <v>20924.4</v>
      </c>
      <c r="D6" s="5">
        <f t="shared" si="1"/>
        <v>2671.2</v>
      </c>
      <c r="E6" s="6">
        <f t="shared" si="2"/>
        <v>2671.2</v>
      </c>
      <c r="F6" s="6">
        <f t="shared" si="3"/>
        <v>7135309.43999998</v>
      </c>
      <c r="G6" s="6">
        <f t="shared" si="4"/>
        <v>11.3207547169811</v>
      </c>
      <c r="H6" s="6">
        <f t="shared" si="5"/>
        <v>11.3207547169811</v>
      </c>
    </row>
    <row r="7" ht="17" spans="1:8">
      <c r="A7" s="5" t="s">
        <v>12</v>
      </c>
      <c r="B7" s="3">
        <v>31020</v>
      </c>
      <c r="C7" s="6">
        <f t="shared" si="0"/>
        <v>23595.6</v>
      </c>
      <c r="D7" s="5">
        <f t="shared" si="1"/>
        <v>7424.4</v>
      </c>
      <c r="E7" s="6">
        <f t="shared" si="2"/>
        <v>7424.4</v>
      </c>
      <c r="F7" s="6">
        <f t="shared" si="3"/>
        <v>55121715.36</v>
      </c>
      <c r="G7" s="6">
        <f t="shared" si="4"/>
        <v>23.9342359767892</v>
      </c>
      <c r="H7" s="6">
        <f t="shared" si="5"/>
        <v>23.9342359767892</v>
      </c>
    </row>
    <row r="8" ht="17" spans="1:8">
      <c r="A8" s="5" t="s">
        <v>14</v>
      </c>
      <c r="B8" s="3">
        <v>34980</v>
      </c>
      <c r="C8" s="6">
        <f t="shared" si="0"/>
        <v>31020</v>
      </c>
      <c r="D8" s="5">
        <f t="shared" si="1"/>
        <v>3960</v>
      </c>
      <c r="E8" s="6">
        <f t="shared" si="2"/>
        <v>3960</v>
      </c>
      <c r="F8" s="6">
        <f t="shared" si="3"/>
        <v>15681600</v>
      </c>
      <c r="G8" s="6">
        <f t="shared" si="4"/>
        <v>11.3207547169811</v>
      </c>
      <c r="H8" s="6">
        <f t="shared" si="5"/>
        <v>11.3207547169811</v>
      </c>
    </row>
    <row r="9" spans="1:8">
      <c r="A9" s="5"/>
      <c r="B9" s="5"/>
      <c r="C9" s="4" t="s">
        <v>30</v>
      </c>
      <c r="D9" s="5">
        <f>SUM(D4:D8)</f>
        <v>28620</v>
      </c>
      <c r="E9" s="6">
        <f>SUM(E4:E8)</f>
        <v>28620</v>
      </c>
      <c r="F9" s="6">
        <f>SUM(F4:F8)</f>
        <v>186868948.16</v>
      </c>
      <c r="G9" s="6"/>
      <c r="H9" s="6">
        <f>SUM(H4:H8)</f>
        <v>132.796616738006</v>
      </c>
    </row>
    <row r="10" spans="1:8">
      <c r="A10" s="5"/>
      <c r="B10" s="5"/>
      <c r="C10" s="4"/>
      <c r="D10" s="7">
        <f>D9/5</f>
        <v>5724</v>
      </c>
      <c r="E10" s="9">
        <f>E9/5</f>
        <v>5724</v>
      </c>
      <c r="F10" s="9">
        <f>F9/5</f>
        <v>37373789.632</v>
      </c>
      <c r="G10" s="9"/>
      <c r="H10" s="9">
        <f>H9/5</f>
        <v>26.5593233476011</v>
      </c>
    </row>
    <row r="11" ht="17" spans="1:8">
      <c r="A11" s="5"/>
      <c r="B11" s="5"/>
      <c r="C11" s="4"/>
      <c r="D11" s="8" t="s">
        <v>70</v>
      </c>
      <c r="E11" s="1" t="s">
        <v>53</v>
      </c>
      <c r="F11" s="1" t="s">
        <v>54</v>
      </c>
      <c r="G11" s="9"/>
      <c r="H11" s="1" t="s">
        <v>55</v>
      </c>
    </row>
    <row r="12" spans="1:8">
      <c r="A12" s="5"/>
      <c r="B12" s="5"/>
      <c r="C12" s="6"/>
      <c r="E12" s="6"/>
      <c r="F12" s="6"/>
      <c r="G12" s="6"/>
      <c r="H12" s="6"/>
    </row>
    <row r="13" ht="17" spans="1:8">
      <c r="A13" s="1" t="s">
        <v>71</v>
      </c>
      <c r="B13" s="9"/>
      <c r="C13" s="9"/>
      <c r="D13" s="9"/>
      <c r="E13" s="9"/>
      <c r="F13" s="9"/>
      <c r="G13" s="9"/>
      <c r="H13" s="9"/>
    </row>
    <row r="14" ht="68" spans="1:8">
      <c r="A14" s="6" t="s">
        <v>1</v>
      </c>
      <c r="B14" s="2" t="s">
        <v>72</v>
      </c>
      <c r="C14" s="4" t="s">
        <v>64</v>
      </c>
      <c r="D14" s="2" t="s">
        <v>65</v>
      </c>
      <c r="E14" s="2" t="s">
        <v>66</v>
      </c>
      <c r="F14" s="2" t="s">
        <v>67</v>
      </c>
      <c r="G14" s="2" t="s">
        <v>68</v>
      </c>
      <c r="H14" s="2" t="s">
        <v>69</v>
      </c>
    </row>
    <row r="15" ht="17" spans="1:8">
      <c r="A15" s="5" t="s">
        <v>5</v>
      </c>
      <c r="B15" s="5">
        <v>2230</v>
      </c>
      <c r="C15" s="6"/>
      <c r="E15" s="6"/>
      <c r="F15" s="6"/>
      <c r="G15" s="6"/>
      <c r="H15" s="6"/>
    </row>
    <row r="16" ht="17" spans="1:8">
      <c r="A16" s="5" t="s">
        <v>7</v>
      </c>
      <c r="B16" s="5">
        <v>2170</v>
      </c>
      <c r="C16" s="6">
        <f>B15</f>
        <v>2230</v>
      </c>
      <c r="D16" s="5">
        <f>B16-C16</f>
        <v>-60</v>
      </c>
      <c r="E16" s="6" cm="1">
        <f t="array" ref="E16:E20">ABS(D16:D20)</f>
        <v>60</v>
      </c>
      <c r="F16" s="6">
        <f>E16^2</f>
        <v>3600</v>
      </c>
      <c r="G16" s="6">
        <f>D16/B16</f>
        <v>-0.0276497695852535</v>
      </c>
      <c r="H16" s="6" cm="1">
        <f t="array" ref="H16:H20">ABS(G16:G20)</f>
        <v>0.0276497695852535</v>
      </c>
    </row>
    <row r="17" ht="17" spans="1:8">
      <c r="A17" s="5" t="s">
        <v>8</v>
      </c>
      <c r="B17" s="5">
        <v>2160</v>
      </c>
      <c r="C17" s="6">
        <f t="shared" ref="C17:C20" si="6">B16</f>
        <v>2170</v>
      </c>
      <c r="D17" s="5">
        <f t="shared" ref="D17:D20" si="7">B17-C17</f>
        <v>-10</v>
      </c>
      <c r="E17" s="6">
        <v>10</v>
      </c>
      <c r="F17" s="6">
        <f t="shared" ref="F17:F20" si="8">E17^2</f>
        <v>100</v>
      </c>
      <c r="G17" s="6">
        <f t="shared" ref="G17:G20" si="9">D17/B17</f>
        <v>-0.00462962962962963</v>
      </c>
      <c r="H17" s="6">
        <v>0.00462962962962963</v>
      </c>
    </row>
    <row r="18" ht="17" spans="1:8">
      <c r="A18" s="5" t="s">
        <v>10</v>
      </c>
      <c r="B18" s="5">
        <v>2140</v>
      </c>
      <c r="C18" s="6">
        <f t="shared" si="6"/>
        <v>2160</v>
      </c>
      <c r="D18" s="5">
        <f t="shared" si="7"/>
        <v>-20</v>
      </c>
      <c r="E18" s="6">
        <v>20</v>
      </c>
      <c r="F18" s="6">
        <f t="shared" si="8"/>
        <v>400</v>
      </c>
      <c r="G18" s="6">
        <f t="shared" si="9"/>
        <v>-0.00934579439252336</v>
      </c>
      <c r="H18" s="6">
        <v>0.00934579439252336</v>
      </c>
    </row>
    <row r="19" ht="17" spans="1:8">
      <c r="A19" s="5" t="s">
        <v>12</v>
      </c>
      <c r="B19" s="5">
        <v>2090</v>
      </c>
      <c r="C19" s="6">
        <f t="shared" si="6"/>
        <v>2140</v>
      </c>
      <c r="D19" s="5">
        <f t="shared" si="7"/>
        <v>-50</v>
      </c>
      <c r="E19" s="6">
        <v>50</v>
      </c>
      <c r="F19" s="6">
        <f t="shared" si="8"/>
        <v>2500</v>
      </c>
      <c r="G19" s="6">
        <f t="shared" si="9"/>
        <v>-0.0239234449760766</v>
      </c>
      <c r="H19" s="6">
        <v>0.0239234449760766</v>
      </c>
    </row>
    <row r="20" ht="17" spans="1:8">
      <c r="A20" s="5" t="s">
        <v>14</v>
      </c>
      <c r="B20" s="5">
        <v>2010</v>
      </c>
      <c r="C20" s="6">
        <f t="shared" si="6"/>
        <v>2090</v>
      </c>
      <c r="D20" s="5">
        <f t="shared" si="7"/>
        <v>-80</v>
      </c>
      <c r="E20" s="6">
        <v>80</v>
      </c>
      <c r="F20" s="6">
        <f t="shared" si="8"/>
        <v>6400</v>
      </c>
      <c r="G20" s="6">
        <f t="shared" si="9"/>
        <v>-0.0398009950248756</v>
      </c>
      <c r="H20" s="6">
        <v>0.0398009950248756</v>
      </c>
    </row>
    <row r="21" spans="1:8">
      <c r="A21" s="6"/>
      <c r="B21" s="6"/>
      <c r="C21" s="4" t="s">
        <v>30</v>
      </c>
      <c r="D21" s="5">
        <f>SUM(D16:D20)</f>
        <v>-220</v>
      </c>
      <c r="E21" s="6">
        <f>SUM(_xlfn.ANCHORARRAY(E16))</f>
        <v>220</v>
      </c>
      <c r="F21" s="6">
        <f>SUM(F16:F20)</f>
        <v>13000</v>
      </c>
      <c r="G21" s="6"/>
      <c r="H21" s="6">
        <f>SUM(_xlfn.ANCHORARRAY(H16))</f>
        <v>0.105349633608359</v>
      </c>
    </row>
    <row r="22" spans="1:8">
      <c r="A22" s="6"/>
      <c r="B22" s="6"/>
      <c r="C22" s="6"/>
      <c r="D22" s="7">
        <f>D21/5</f>
        <v>-44</v>
      </c>
      <c r="E22" s="9">
        <f>E21/5</f>
        <v>44</v>
      </c>
      <c r="F22" s="9">
        <f>F21/5</f>
        <v>2600</v>
      </c>
      <c r="G22" s="9"/>
      <c r="H22" s="9">
        <f>H21/5</f>
        <v>0.0210699267216717</v>
      </c>
    </row>
    <row r="23" ht="17" spans="1:8">
      <c r="A23" s="6"/>
      <c r="B23" s="6"/>
      <c r="C23" s="6"/>
      <c r="D23" s="8" t="s">
        <v>70</v>
      </c>
      <c r="E23" s="1" t="s">
        <v>53</v>
      </c>
      <c r="F23" s="1" t="s">
        <v>54</v>
      </c>
      <c r="G23" s="9"/>
      <c r="H23" s="1" t="s">
        <v>55</v>
      </c>
    </row>
  </sheetData>
  <mergeCells count="2">
    <mergeCell ref="A1:H1"/>
    <mergeCell ref="A13:H13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zoomScale="96" zoomScaleNormal="96" topLeftCell="A4" workbookViewId="0">
      <selection activeCell="H22" sqref="H22"/>
    </sheetView>
  </sheetViews>
  <sheetFormatPr defaultColWidth="9" defaultRowHeight="16.8" outlineLevelCol="7"/>
  <cols>
    <col min="2" max="2" width="16.7307692307692" customWidth="1"/>
    <col min="3" max="3" width="9.59615384615385" customWidth="1"/>
    <col min="4" max="4" width="10.0673076923077" customWidth="1"/>
  </cols>
  <sheetData>
    <row r="1" spans="1:8">
      <c r="A1" s="1" t="s">
        <v>63</v>
      </c>
      <c r="B1" s="1"/>
      <c r="C1" s="1"/>
      <c r="D1" s="1"/>
      <c r="E1" s="1"/>
      <c r="F1" s="1"/>
      <c r="G1" s="1"/>
      <c r="H1" s="1"/>
    </row>
    <row r="2" ht="68" spans="1:8">
      <c r="A2" s="2" t="s">
        <v>1</v>
      </c>
      <c r="B2" s="3" t="s">
        <v>19</v>
      </c>
      <c r="C2" s="4" t="s">
        <v>64</v>
      </c>
      <c r="D2" s="2" t="s">
        <v>65</v>
      </c>
      <c r="E2" s="2" t="s">
        <v>66</v>
      </c>
      <c r="F2" s="2" t="s">
        <v>67</v>
      </c>
      <c r="G2" s="2" t="s">
        <v>68</v>
      </c>
      <c r="H2" s="2" t="s">
        <v>69</v>
      </c>
    </row>
    <row r="3" ht="17" spans="1:8">
      <c r="A3" s="5" t="s">
        <v>5</v>
      </c>
      <c r="B3" s="10">
        <v>6360</v>
      </c>
      <c r="C3" s="6"/>
      <c r="D3" s="5"/>
      <c r="E3" s="6"/>
      <c r="F3" s="6"/>
      <c r="G3" s="6"/>
      <c r="H3" s="6"/>
    </row>
    <row r="4" ht="17" spans="1:8">
      <c r="A4" s="5" t="s">
        <v>7</v>
      </c>
      <c r="B4" s="3">
        <v>14840</v>
      </c>
      <c r="C4" s="6"/>
      <c r="D4" s="5"/>
      <c r="E4" s="6"/>
      <c r="F4" s="6"/>
      <c r="G4" s="6"/>
      <c r="H4" s="6"/>
    </row>
    <row r="5" ht="17" spans="1:8">
      <c r="A5" s="5" t="s">
        <v>8</v>
      </c>
      <c r="B5" s="3">
        <v>20924.4</v>
      </c>
      <c r="C5" s="6">
        <f>SUM(B3:B4)/2</f>
        <v>10600</v>
      </c>
      <c r="D5" s="5">
        <f t="shared" ref="D5:D8" si="0">B5-C5</f>
        <v>10324.4</v>
      </c>
      <c r="E5" s="6">
        <f t="shared" ref="E5:E8" si="1">ABS(D5)</f>
        <v>10324.4</v>
      </c>
      <c r="F5" s="6">
        <f t="shared" ref="F5:F8" si="2">E5^2</f>
        <v>106593235.36</v>
      </c>
      <c r="G5" s="6">
        <f t="shared" ref="G5:G8" si="3">D5/B5*100</f>
        <v>49.3414387031408</v>
      </c>
      <c r="H5" s="6">
        <f t="shared" ref="H5:H8" si="4">ABS(G5)</f>
        <v>49.3414387031408</v>
      </c>
    </row>
    <row r="6" ht="17" spans="1:8">
      <c r="A6" s="5" t="s">
        <v>10</v>
      </c>
      <c r="B6" s="3">
        <v>23595.6</v>
      </c>
      <c r="C6" s="6">
        <f t="shared" ref="C6:C8" si="5">SUM(B4:B5)/2</f>
        <v>17882.2</v>
      </c>
      <c r="D6" s="5">
        <f t="shared" si="0"/>
        <v>5713.4</v>
      </c>
      <c r="E6" s="6">
        <f t="shared" si="1"/>
        <v>5713.4</v>
      </c>
      <c r="F6" s="6">
        <f t="shared" si="2"/>
        <v>32642939.56</v>
      </c>
      <c r="G6" s="6">
        <f t="shared" si="3"/>
        <v>24.2138364779874</v>
      </c>
      <c r="H6" s="6">
        <f t="shared" si="4"/>
        <v>24.2138364779874</v>
      </c>
    </row>
    <row r="7" ht="17" spans="1:8">
      <c r="A7" s="5" t="s">
        <v>12</v>
      </c>
      <c r="B7" s="3">
        <v>31020</v>
      </c>
      <c r="C7" s="6">
        <f t="shared" si="5"/>
        <v>22260</v>
      </c>
      <c r="D7" s="5">
        <f t="shared" si="0"/>
        <v>8760</v>
      </c>
      <c r="E7" s="6">
        <f t="shared" si="1"/>
        <v>8760</v>
      </c>
      <c r="F7" s="6">
        <f t="shared" si="2"/>
        <v>76737600</v>
      </c>
      <c r="G7" s="6">
        <f t="shared" si="3"/>
        <v>28.2398452611219</v>
      </c>
      <c r="H7" s="6">
        <f t="shared" si="4"/>
        <v>28.2398452611219</v>
      </c>
    </row>
    <row r="8" ht="17" spans="1:8">
      <c r="A8" s="5" t="s">
        <v>14</v>
      </c>
      <c r="B8" s="3">
        <v>34980</v>
      </c>
      <c r="C8" s="6">
        <f t="shared" si="5"/>
        <v>27307.8</v>
      </c>
      <c r="D8" s="5">
        <f t="shared" si="0"/>
        <v>7672.2</v>
      </c>
      <c r="E8" s="6">
        <f t="shared" si="1"/>
        <v>7672.2</v>
      </c>
      <c r="F8" s="6">
        <f t="shared" si="2"/>
        <v>58862652.84</v>
      </c>
      <c r="G8" s="6">
        <f t="shared" si="3"/>
        <v>21.9331046312178</v>
      </c>
      <c r="H8" s="6">
        <f t="shared" si="4"/>
        <v>21.9331046312178</v>
      </c>
    </row>
    <row r="9" spans="1:8">
      <c r="A9" s="5"/>
      <c r="B9" s="5"/>
      <c r="C9" s="4" t="s">
        <v>30</v>
      </c>
      <c r="D9" s="5">
        <f>SUM(D5:D8)</f>
        <v>32470</v>
      </c>
      <c r="E9" s="6">
        <f>SUM(E5:E8)</f>
        <v>32470</v>
      </c>
      <c r="F9" s="6">
        <f>SUM(F5:F8)</f>
        <v>274836427.76</v>
      </c>
      <c r="G9" s="6"/>
      <c r="H9" s="6">
        <f>SUM(H5:H8)</f>
        <v>123.728225073468</v>
      </c>
    </row>
    <row r="10" spans="1:8">
      <c r="A10" s="5"/>
      <c r="B10" s="5"/>
      <c r="C10" s="4"/>
      <c r="D10" s="7">
        <f>D9/4</f>
        <v>8117.5</v>
      </c>
      <c r="E10" s="9">
        <f>E9/4</f>
        <v>8117.5</v>
      </c>
      <c r="F10" s="9">
        <f>F9/4</f>
        <v>68709106.94</v>
      </c>
      <c r="G10" s="9"/>
      <c r="H10" s="9">
        <f>H9/4</f>
        <v>30.932056268367</v>
      </c>
    </row>
    <row r="11" ht="17" spans="1:8">
      <c r="A11" s="5"/>
      <c r="B11" s="5"/>
      <c r="C11" s="4"/>
      <c r="D11" s="8" t="s">
        <v>70</v>
      </c>
      <c r="E11" s="1" t="s">
        <v>53</v>
      </c>
      <c r="F11" s="1" t="s">
        <v>54</v>
      </c>
      <c r="G11" s="9"/>
      <c r="H11" s="1" t="s">
        <v>55</v>
      </c>
    </row>
    <row r="12" spans="1:8">
      <c r="A12" s="5"/>
      <c r="B12" s="5"/>
      <c r="C12" s="6"/>
      <c r="D12" s="5"/>
      <c r="E12" s="6"/>
      <c r="F12" s="6"/>
      <c r="G12" s="6"/>
      <c r="H12" s="6"/>
    </row>
    <row r="13" ht="17" spans="1:8">
      <c r="A13" s="1" t="s">
        <v>71</v>
      </c>
      <c r="B13" s="9"/>
      <c r="C13" s="9"/>
      <c r="D13" s="9"/>
      <c r="E13" s="9"/>
      <c r="F13" s="9"/>
      <c r="G13" s="9"/>
      <c r="H13" s="9"/>
    </row>
    <row r="14" ht="68" spans="1:8">
      <c r="A14" s="6" t="s">
        <v>1</v>
      </c>
      <c r="B14" s="2" t="s">
        <v>72</v>
      </c>
      <c r="C14" s="4" t="s">
        <v>64</v>
      </c>
      <c r="D14" s="2" t="s">
        <v>65</v>
      </c>
      <c r="E14" s="2" t="s">
        <v>66</v>
      </c>
      <c r="F14" s="2" t="s">
        <v>67</v>
      </c>
      <c r="G14" s="2" t="s">
        <v>68</v>
      </c>
      <c r="H14" s="2" t="s">
        <v>69</v>
      </c>
    </row>
    <row r="15" ht="17" spans="1:8">
      <c r="A15" s="5" t="s">
        <v>5</v>
      </c>
      <c r="B15" s="5">
        <v>2230</v>
      </c>
      <c r="C15" s="6"/>
      <c r="D15" s="5"/>
      <c r="E15" s="6"/>
      <c r="F15" s="6"/>
      <c r="G15" s="6"/>
      <c r="H15" s="6"/>
    </row>
    <row r="16" ht="17" spans="1:8">
      <c r="A16" s="5" t="s">
        <v>7</v>
      </c>
      <c r="B16" s="5">
        <v>2170</v>
      </c>
      <c r="C16" s="6"/>
      <c r="D16" s="5"/>
      <c r="E16" s="6"/>
      <c r="F16" s="6"/>
      <c r="G16" s="6"/>
      <c r="H16" s="6"/>
    </row>
    <row r="17" ht="17" spans="1:8">
      <c r="A17" s="5" t="s">
        <v>8</v>
      </c>
      <c r="B17" s="5">
        <v>2160</v>
      </c>
      <c r="C17" s="6">
        <f>SUM(B15:B16)/2</f>
        <v>2200</v>
      </c>
      <c r="D17" s="5">
        <f t="shared" ref="D17:D20" si="6">B17-C17</f>
        <v>-40</v>
      </c>
      <c r="E17" s="6">
        <f>ABS(D17)</f>
        <v>40</v>
      </c>
      <c r="F17" s="6">
        <f t="shared" ref="F17:F20" si="7">E17^2</f>
        <v>1600</v>
      </c>
      <c r="G17" s="6">
        <f t="shared" ref="G17:G20" si="8">D17/B17</f>
        <v>-0.0185185185185185</v>
      </c>
      <c r="H17" s="6">
        <f>ABS(G17)</f>
        <v>0.0185185185185185</v>
      </c>
    </row>
    <row r="18" ht="17" spans="1:8">
      <c r="A18" s="5" t="s">
        <v>10</v>
      </c>
      <c r="B18" s="5">
        <v>2140</v>
      </c>
      <c r="C18" s="6">
        <f t="shared" ref="C18:C20" si="9">SUM(B16:B17)/2</f>
        <v>2165</v>
      </c>
      <c r="D18" s="5">
        <f t="shared" si="6"/>
        <v>-25</v>
      </c>
      <c r="E18" s="6">
        <f t="shared" ref="E18:E20" si="10">ABS(D18)</f>
        <v>25</v>
      </c>
      <c r="F18" s="6">
        <f t="shared" si="7"/>
        <v>625</v>
      </c>
      <c r="G18" s="6">
        <f t="shared" si="8"/>
        <v>-0.0116822429906542</v>
      </c>
      <c r="H18" s="6">
        <f t="shared" ref="H18:H20" si="11">ABS(G18)</f>
        <v>0.0116822429906542</v>
      </c>
    </row>
    <row r="19" ht="17" spans="1:8">
      <c r="A19" s="5" t="s">
        <v>12</v>
      </c>
      <c r="B19" s="5">
        <v>2090</v>
      </c>
      <c r="C19" s="6">
        <f t="shared" si="9"/>
        <v>2150</v>
      </c>
      <c r="D19" s="5">
        <f t="shared" si="6"/>
        <v>-60</v>
      </c>
      <c r="E19" s="6">
        <f t="shared" si="10"/>
        <v>60</v>
      </c>
      <c r="F19" s="6">
        <f t="shared" si="7"/>
        <v>3600</v>
      </c>
      <c r="G19" s="6">
        <f t="shared" si="8"/>
        <v>-0.0287081339712919</v>
      </c>
      <c r="H19" s="6">
        <f t="shared" si="11"/>
        <v>0.0287081339712919</v>
      </c>
    </row>
    <row r="20" ht="17" spans="1:8">
      <c r="A20" s="5" t="s">
        <v>14</v>
      </c>
      <c r="B20" s="5">
        <v>2010</v>
      </c>
      <c r="C20" s="6">
        <f t="shared" si="9"/>
        <v>2115</v>
      </c>
      <c r="D20" s="5">
        <f t="shared" si="6"/>
        <v>-105</v>
      </c>
      <c r="E20" s="6">
        <f t="shared" si="10"/>
        <v>105</v>
      </c>
      <c r="F20" s="6">
        <f t="shared" si="7"/>
        <v>11025</v>
      </c>
      <c r="G20" s="6">
        <f t="shared" si="8"/>
        <v>-0.0522388059701493</v>
      </c>
      <c r="H20" s="6">
        <f t="shared" si="11"/>
        <v>0.0522388059701493</v>
      </c>
    </row>
    <row r="21" spans="1:8">
      <c r="A21" s="6"/>
      <c r="B21" s="6"/>
      <c r="C21" s="4" t="s">
        <v>30</v>
      </c>
      <c r="D21" s="5">
        <f>SUM(D16:D20)</f>
        <v>-230</v>
      </c>
      <c r="E21" s="6">
        <f>SUM(E17:E20)</f>
        <v>230</v>
      </c>
      <c r="F21" s="6">
        <f>SUM(F16:F20)</f>
        <v>16850</v>
      </c>
      <c r="G21" s="6"/>
      <c r="H21" s="6">
        <f>SUM(H17:H20)</f>
        <v>0.111147701450614</v>
      </c>
    </row>
    <row r="22" spans="1:8">
      <c r="A22" s="6"/>
      <c r="B22" s="6"/>
      <c r="C22" s="6"/>
      <c r="D22" s="7">
        <f>D21/4</f>
        <v>-57.5</v>
      </c>
      <c r="E22" s="9">
        <f>E21/4</f>
        <v>57.5</v>
      </c>
      <c r="F22" s="9">
        <f>F21/4</f>
        <v>4212.5</v>
      </c>
      <c r="G22" s="9"/>
      <c r="H22" s="9">
        <f>H21/4</f>
        <v>0.0277869253626535</v>
      </c>
    </row>
    <row r="23" ht="17" spans="1:8">
      <c r="A23" s="6"/>
      <c r="B23" s="6"/>
      <c r="C23" s="6"/>
      <c r="D23" s="8" t="s">
        <v>70</v>
      </c>
      <c r="E23" s="1" t="s">
        <v>53</v>
      </c>
      <c r="F23" s="1" t="s">
        <v>54</v>
      </c>
      <c r="G23" s="9"/>
      <c r="H23" s="1" t="s">
        <v>55</v>
      </c>
    </row>
  </sheetData>
  <mergeCells count="2">
    <mergeCell ref="A1:H1"/>
    <mergeCell ref="A13:H13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topLeftCell="A3" workbookViewId="0">
      <selection activeCell="H22" sqref="H22"/>
    </sheetView>
  </sheetViews>
  <sheetFormatPr defaultColWidth="9" defaultRowHeight="16.8" outlineLevelCol="7"/>
  <cols>
    <col min="4" max="4" width="12.2019230769231" customWidth="1"/>
  </cols>
  <sheetData>
    <row r="1" spans="1:8">
      <c r="A1" s="1" t="s">
        <v>63</v>
      </c>
      <c r="B1" s="1"/>
      <c r="C1" s="1"/>
      <c r="D1" s="1"/>
      <c r="E1" s="1"/>
      <c r="F1" s="1"/>
      <c r="G1" s="1"/>
      <c r="H1" s="1"/>
    </row>
    <row r="2" ht="68" spans="1:8">
      <c r="A2" s="2" t="s">
        <v>1</v>
      </c>
      <c r="B2" s="3" t="s">
        <v>19</v>
      </c>
      <c r="C2" s="4" t="s">
        <v>64</v>
      </c>
      <c r="D2" s="2" t="s">
        <v>65</v>
      </c>
      <c r="E2" s="2" t="s">
        <v>66</v>
      </c>
      <c r="F2" s="2" t="s">
        <v>67</v>
      </c>
      <c r="G2" s="2" t="s">
        <v>68</v>
      </c>
      <c r="H2" s="2" t="s">
        <v>69</v>
      </c>
    </row>
    <row r="3" ht="17" spans="1:8">
      <c r="A3" s="5" t="s">
        <v>5</v>
      </c>
      <c r="B3" s="10">
        <v>6360</v>
      </c>
      <c r="C3" s="6"/>
      <c r="D3" s="5"/>
      <c r="E3" s="6"/>
      <c r="F3" s="6"/>
      <c r="G3" s="6"/>
      <c r="H3" s="6"/>
    </row>
    <row r="4" ht="17" spans="1:8">
      <c r="A4" s="5" t="s">
        <v>7</v>
      </c>
      <c r="B4" s="3">
        <v>14840</v>
      </c>
      <c r="C4" s="6"/>
      <c r="D4" s="5"/>
      <c r="E4" s="6"/>
      <c r="F4" s="6"/>
      <c r="G4" s="6"/>
      <c r="H4" s="6"/>
    </row>
    <row r="5" ht="17" spans="1:8">
      <c r="A5" s="5" t="s">
        <v>8</v>
      </c>
      <c r="B5" s="3">
        <v>20924.4</v>
      </c>
      <c r="C5" s="6"/>
      <c r="D5" s="5"/>
      <c r="E5" s="6"/>
      <c r="F5" s="6"/>
      <c r="G5" s="6"/>
      <c r="H5" s="6"/>
    </row>
    <row r="6" ht="17" spans="1:8">
      <c r="A6" s="5" t="s">
        <v>10</v>
      </c>
      <c r="B6" s="3">
        <v>23595.6</v>
      </c>
      <c r="C6" s="6">
        <f>SUM(B3:B5)/3</f>
        <v>14041.4666666667</v>
      </c>
      <c r="D6" s="5">
        <f t="shared" ref="D6:D8" si="0">B6-C6</f>
        <v>9554.13333333333</v>
      </c>
      <c r="E6" s="6">
        <f t="shared" ref="E6:E8" si="1">ABS(D6)</f>
        <v>9554.13333333333</v>
      </c>
      <c r="F6" s="6">
        <f t="shared" ref="F6:F8" si="2">E6^2</f>
        <v>91281463.7511111</v>
      </c>
      <c r="G6" s="6">
        <f t="shared" ref="G6:G8" si="3">D6/B6*100</f>
        <v>40.4911650194669</v>
      </c>
      <c r="H6" s="6">
        <f t="shared" ref="H6:H8" si="4">ABS(G6)</f>
        <v>40.4911650194669</v>
      </c>
    </row>
    <row r="7" ht="17" spans="1:8">
      <c r="A7" s="5" t="s">
        <v>12</v>
      </c>
      <c r="B7" s="3">
        <v>31020</v>
      </c>
      <c r="C7" s="6">
        <f t="shared" ref="C7:C8" si="5">SUM(B4:B6)/3</f>
        <v>19786.6666666667</v>
      </c>
      <c r="D7" s="5">
        <f t="shared" si="0"/>
        <v>11233.3333333333</v>
      </c>
      <c r="E7" s="6">
        <f t="shared" si="1"/>
        <v>11233.3333333333</v>
      </c>
      <c r="F7" s="6">
        <f t="shared" si="2"/>
        <v>126187777.777778</v>
      </c>
      <c r="G7" s="6">
        <f t="shared" si="3"/>
        <v>36.2131957876639</v>
      </c>
      <c r="H7" s="6">
        <f t="shared" si="4"/>
        <v>36.2131957876639</v>
      </c>
    </row>
    <row r="8" ht="17" spans="1:8">
      <c r="A8" s="5" t="s">
        <v>14</v>
      </c>
      <c r="B8" s="3">
        <v>34980</v>
      </c>
      <c r="C8" s="6">
        <f t="shared" si="5"/>
        <v>25180</v>
      </c>
      <c r="D8" s="5">
        <f t="shared" si="0"/>
        <v>9800</v>
      </c>
      <c r="E8" s="6">
        <f t="shared" si="1"/>
        <v>9800</v>
      </c>
      <c r="F8" s="6">
        <f t="shared" si="2"/>
        <v>96040000</v>
      </c>
      <c r="G8" s="6">
        <f t="shared" si="3"/>
        <v>28.0160091480846</v>
      </c>
      <c r="H8" s="6">
        <f t="shared" si="4"/>
        <v>28.0160091480846</v>
      </c>
    </row>
    <row r="9" spans="1:8">
      <c r="A9" s="5"/>
      <c r="B9" s="5"/>
      <c r="C9" s="4" t="s">
        <v>30</v>
      </c>
      <c r="D9" s="5">
        <f>SUM(D5:D8)</f>
        <v>30587.4666666667</v>
      </c>
      <c r="E9" s="6">
        <f>SUM(E5:E8)</f>
        <v>30587.4666666667</v>
      </c>
      <c r="F9" s="6">
        <f>SUM(F5:F8)</f>
        <v>313509241.528889</v>
      </c>
      <c r="G9" s="6"/>
      <c r="H9" s="6">
        <f>SUM(H5:H8)</f>
        <v>104.720369955215</v>
      </c>
    </row>
    <row r="10" spans="1:8">
      <c r="A10" s="5"/>
      <c r="B10" s="5"/>
      <c r="C10" s="4"/>
      <c r="D10" s="7">
        <f>D9/3</f>
        <v>10195.8222222222</v>
      </c>
      <c r="E10" s="9">
        <f>E9/3</f>
        <v>10195.8222222222</v>
      </c>
      <c r="F10" s="9">
        <f>F9/3</f>
        <v>104503080.50963</v>
      </c>
      <c r="G10" s="9"/>
      <c r="H10" s="9">
        <f>H9/3</f>
        <v>34.9067899850718</v>
      </c>
    </row>
    <row r="11" ht="17" spans="1:8">
      <c r="A11" s="5"/>
      <c r="B11" s="5"/>
      <c r="C11" s="4"/>
      <c r="D11" s="8" t="s">
        <v>70</v>
      </c>
      <c r="E11" s="1" t="s">
        <v>53</v>
      </c>
      <c r="F11" s="1" t="s">
        <v>54</v>
      </c>
      <c r="G11" s="9"/>
      <c r="H11" s="1" t="s">
        <v>55</v>
      </c>
    </row>
    <row r="12" spans="1:8">
      <c r="A12" s="5"/>
      <c r="B12" s="5"/>
      <c r="C12" s="6"/>
      <c r="D12" s="5"/>
      <c r="E12" s="6"/>
      <c r="F12" s="6"/>
      <c r="G12" s="6"/>
      <c r="H12" s="6"/>
    </row>
    <row r="13" ht="17" spans="1:8">
      <c r="A13" s="1" t="s">
        <v>71</v>
      </c>
      <c r="B13" s="9"/>
      <c r="C13" s="9"/>
      <c r="D13" s="9"/>
      <c r="E13" s="9"/>
      <c r="F13" s="9"/>
      <c r="G13" s="9"/>
      <c r="H13" s="9"/>
    </row>
    <row r="14" ht="68" spans="1:8">
      <c r="A14" s="6" t="s">
        <v>1</v>
      </c>
      <c r="B14" s="2" t="s">
        <v>72</v>
      </c>
      <c r="C14" s="4" t="s">
        <v>64</v>
      </c>
      <c r="D14" s="2" t="s">
        <v>65</v>
      </c>
      <c r="E14" s="2" t="s">
        <v>66</v>
      </c>
      <c r="F14" s="2" t="s">
        <v>67</v>
      </c>
      <c r="G14" s="2" t="s">
        <v>68</v>
      </c>
      <c r="H14" s="2" t="s">
        <v>69</v>
      </c>
    </row>
    <row r="15" ht="17" spans="1:8">
      <c r="A15" s="5" t="s">
        <v>5</v>
      </c>
      <c r="B15" s="5">
        <v>2230</v>
      </c>
      <c r="C15" s="6"/>
      <c r="D15" s="5"/>
      <c r="E15" s="6"/>
      <c r="F15" s="6"/>
      <c r="G15" s="6"/>
      <c r="H15" s="6"/>
    </row>
    <row r="16" ht="17" spans="1:8">
      <c r="A16" s="5" t="s">
        <v>7</v>
      </c>
      <c r="B16" s="5">
        <v>2170</v>
      </c>
      <c r="C16" s="6"/>
      <c r="D16" s="5"/>
      <c r="E16" s="6"/>
      <c r="F16" s="6"/>
      <c r="G16" s="6"/>
      <c r="H16" s="6"/>
    </row>
    <row r="17" ht="17" spans="1:8">
      <c r="A17" s="5" t="s">
        <v>8</v>
      </c>
      <c r="B17" s="5">
        <v>2160</v>
      </c>
      <c r="C17" s="6"/>
      <c r="D17" s="5"/>
      <c r="E17" s="6"/>
      <c r="F17" s="6"/>
      <c r="G17" s="6"/>
      <c r="H17" s="6"/>
    </row>
    <row r="18" ht="17" spans="1:8">
      <c r="A18" s="5" t="s">
        <v>10</v>
      </c>
      <c r="B18" s="5">
        <v>2140</v>
      </c>
      <c r="C18" s="6">
        <f>SUM(B15:B17)/3</f>
        <v>2186.66666666667</v>
      </c>
      <c r="D18" s="5">
        <f t="shared" ref="D18:D20" si="6">B18-C18</f>
        <v>-46.6666666666665</v>
      </c>
      <c r="E18" s="6">
        <f t="shared" ref="E18:E20" si="7">ABS(D18)</f>
        <v>46.6666666666665</v>
      </c>
      <c r="F18" s="6">
        <f t="shared" ref="F18:F20" si="8">E18^2</f>
        <v>2177.77777777776</v>
      </c>
      <c r="G18" s="6">
        <f t="shared" ref="G18:G20" si="9">D18/B18</f>
        <v>-0.0218068535825544</v>
      </c>
      <c r="H18" s="6">
        <f t="shared" ref="H18:H20" si="10">ABS(G18)</f>
        <v>0.0218068535825544</v>
      </c>
    </row>
    <row r="19" ht="17" spans="1:8">
      <c r="A19" s="5" t="s">
        <v>12</v>
      </c>
      <c r="B19" s="5">
        <v>2090</v>
      </c>
      <c r="C19" s="6">
        <f t="shared" ref="C19:C20" si="11">SUM(B16:B18)/3</f>
        <v>2156.66666666667</v>
      </c>
      <c r="D19" s="5">
        <f t="shared" si="6"/>
        <v>-66.6666666666665</v>
      </c>
      <c r="E19" s="6">
        <f t="shared" si="7"/>
        <v>66.6666666666665</v>
      </c>
      <c r="F19" s="6">
        <f t="shared" si="8"/>
        <v>4444.44444444442</v>
      </c>
      <c r="G19" s="6">
        <f t="shared" si="9"/>
        <v>-0.0318979266347687</v>
      </c>
      <c r="H19" s="6">
        <f t="shared" si="10"/>
        <v>0.0318979266347687</v>
      </c>
    </row>
    <row r="20" ht="17" spans="1:8">
      <c r="A20" s="5" t="s">
        <v>14</v>
      </c>
      <c r="B20" s="5">
        <v>2010</v>
      </c>
      <c r="C20" s="6">
        <f t="shared" si="11"/>
        <v>2130</v>
      </c>
      <c r="D20" s="5">
        <f t="shared" si="6"/>
        <v>-120</v>
      </c>
      <c r="E20" s="6">
        <f t="shared" si="7"/>
        <v>120</v>
      </c>
      <c r="F20" s="6">
        <f t="shared" si="8"/>
        <v>14400</v>
      </c>
      <c r="G20" s="6">
        <f t="shared" si="9"/>
        <v>-0.0597014925373134</v>
      </c>
      <c r="H20" s="6">
        <f t="shared" si="10"/>
        <v>0.0597014925373134</v>
      </c>
    </row>
    <row r="21" spans="1:8">
      <c r="A21" s="6"/>
      <c r="B21" s="6"/>
      <c r="C21" s="4" t="s">
        <v>30</v>
      </c>
      <c r="D21" s="5">
        <f>SUM(D16:D20)</f>
        <v>-233.333333333333</v>
      </c>
      <c r="E21" s="6">
        <f>SUM(E17:E20)</f>
        <v>233.333333333333</v>
      </c>
      <c r="F21" s="6">
        <f>SUM(F16:F20)</f>
        <v>21022.2222222222</v>
      </c>
      <c r="G21" s="6"/>
      <c r="H21" s="6">
        <f>SUM(H17:H20)</f>
        <v>0.113406272754637</v>
      </c>
    </row>
    <row r="22" spans="1:8">
      <c r="A22" s="6"/>
      <c r="B22" s="6"/>
      <c r="C22" s="6"/>
      <c r="D22" s="7">
        <f>D21/3</f>
        <v>-77.7777777777777</v>
      </c>
      <c r="E22" s="9">
        <f>E21/3</f>
        <v>77.7777777777777</v>
      </c>
      <c r="F22" s="9">
        <f>F21/3</f>
        <v>7007.4074074074</v>
      </c>
      <c r="G22" s="9"/>
      <c r="H22" s="9">
        <f>H21/3</f>
        <v>0.0378020909182122</v>
      </c>
    </row>
    <row r="23" ht="17" spans="1:8">
      <c r="A23" s="6"/>
      <c r="B23" s="6"/>
      <c r="C23" s="6"/>
      <c r="D23" s="8" t="s">
        <v>70</v>
      </c>
      <c r="E23" s="1" t="s">
        <v>53</v>
      </c>
      <c r="F23" s="1" t="s">
        <v>54</v>
      </c>
      <c r="G23" s="9"/>
      <c r="H23" s="1" t="s">
        <v>55</v>
      </c>
    </row>
  </sheetData>
  <mergeCells count="2">
    <mergeCell ref="A1:H1"/>
    <mergeCell ref="A13:H13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zoomScale="95" zoomScaleNormal="95" workbookViewId="0">
      <selection activeCell="H22" sqref="H22"/>
    </sheetView>
  </sheetViews>
  <sheetFormatPr defaultColWidth="9" defaultRowHeight="16.8" outlineLevelCol="7"/>
  <cols>
    <col min="2" max="2" width="15.0673076923077" customWidth="1"/>
  </cols>
  <sheetData>
    <row r="1" spans="1:8">
      <c r="A1" s="1" t="s">
        <v>73</v>
      </c>
      <c r="B1" s="1"/>
      <c r="C1" s="1"/>
      <c r="D1" s="1"/>
      <c r="E1" s="1"/>
      <c r="F1" s="1"/>
      <c r="G1" s="1"/>
      <c r="H1" s="1"/>
    </row>
    <row r="2" ht="68" spans="1:8">
      <c r="A2" s="2" t="s">
        <v>1</v>
      </c>
      <c r="B2" s="3" t="s">
        <v>20</v>
      </c>
      <c r="C2" s="4" t="s">
        <v>64</v>
      </c>
      <c r="D2" s="2" t="s">
        <v>65</v>
      </c>
      <c r="E2" s="2" t="s">
        <v>66</v>
      </c>
      <c r="F2" s="2" t="s">
        <v>67</v>
      </c>
      <c r="G2" s="2" t="s">
        <v>68</v>
      </c>
      <c r="H2" s="2" t="s">
        <v>69</v>
      </c>
    </row>
    <row r="3" ht="17" spans="1:8">
      <c r="A3" s="5" t="s">
        <v>5</v>
      </c>
      <c r="B3" s="3">
        <v>5985</v>
      </c>
      <c r="C3" s="6"/>
      <c r="D3" s="5"/>
      <c r="E3" s="6"/>
      <c r="F3" s="6"/>
      <c r="G3" s="6"/>
      <c r="H3" s="6"/>
    </row>
    <row r="4" ht="17" spans="1:8">
      <c r="A4" s="5" t="s">
        <v>7</v>
      </c>
      <c r="B4" s="3">
        <v>13965</v>
      </c>
      <c r="C4" s="6">
        <f>B3</f>
        <v>5985</v>
      </c>
      <c r="D4" s="5">
        <f>B4-C4</f>
        <v>7980</v>
      </c>
      <c r="E4" s="6">
        <f>ABS(D4)</f>
        <v>7980</v>
      </c>
      <c r="F4" s="6">
        <f>E4^2</f>
        <v>63680400</v>
      </c>
      <c r="G4" s="6">
        <f>D4/B4*100</f>
        <v>57.1428571428571</v>
      </c>
      <c r="H4" s="6">
        <f>ABS(G4)</f>
        <v>57.1428571428571</v>
      </c>
    </row>
    <row r="5" ht="17" spans="1:8">
      <c r="A5" s="5" t="s">
        <v>8</v>
      </c>
      <c r="B5" s="3">
        <v>19690.65</v>
      </c>
      <c r="C5" s="6">
        <f t="shared" ref="C5:C8" si="0">B4</f>
        <v>13965</v>
      </c>
      <c r="D5" s="5">
        <f t="shared" ref="D5:D8" si="1">B5-C5</f>
        <v>5725.65</v>
      </c>
      <c r="E5" s="6">
        <f t="shared" ref="E5:E8" si="2">ABS(D5)</f>
        <v>5725.65</v>
      </c>
      <c r="F5" s="6">
        <f t="shared" ref="F5:F8" si="3">E5^2</f>
        <v>32783067.9225</v>
      </c>
      <c r="G5" s="6">
        <f t="shared" ref="G5:G8" si="4">D5/B5*100</f>
        <v>29.0780141843972</v>
      </c>
      <c r="H5" s="6">
        <f t="shared" ref="H5:H8" si="5">ABS(G5)</f>
        <v>29.0780141843972</v>
      </c>
    </row>
    <row r="6" ht="17" spans="1:8">
      <c r="A6" s="5" t="s">
        <v>10</v>
      </c>
      <c r="B6" s="3">
        <v>22204.35</v>
      </c>
      <c r="C6" s="6">
        <f t="shared" si="0"/>
        <v>19690.65</v>
      </c>
      <c r="D6" s="5">
        <f t="shared" si="1"/>
        <v>2513.7</v>
      </c>
      <c r="E6" s="6">
        <f t="shared" si="2"/>
        <v>2513.7</v>
      </c>
      <c r="F6" s="6">
        <f t="shared" si="3"/>
        <v>6318687.68999999</v>
      </c>
      <c r="G6" s="6">
        <f t="shared" si="4"/>
        <v>11.3207547169811</v>
      </c>
      <c r="H6" s="6">
        <f t="shared" si="5"/>
        <v>11.3207547169811</v>
      </c>
    </row>
    <row r="7" ht="17" spans="1:8">
      <c r="A7" s="5" t="s">
        <v>12</v>
      </c>
      <c r="B7" s="3">
        <v>29610</v>
      </c>
      <c r="C7" s="6">
        <f t="shared" si="0"/>
        <v>22204.35</v>
      </c>
      <c r="D7" s="5">
        <f t="shared" si="1"/>
        <v>7405.65</v>
      </c>
      <c r="E7" s="6">
        <f t="shared" si="2"/>
        <v>7405.65</v>
      </c>
      <c r="F7" s="6">
        <f t="shared" si="3"/>
        <v>54843651.9225</v>
      </c>
      <c r="G7" s="6">
        <f t="shared" si="4"/>
        <v>25.0106382978723</v>
      </c>
      <c r="H7" s="6">
        <f t="shared" si="5"/>
        <v>25.0106382978723</v>
      </c>
    </row>
    <row r="8" ht="17" spans="1:8">
      <c r="A8" s="5" t="s">
        <v>14</v>
      </c>
      <c r="B8" s="3">
        <v>33390</v>
      </c>
      <c r="C8" s="6">
        <f t="shared" si="0"/>
        <v>29610</v>
      </c>
      <c r="D8" s="5">
        <f t="shared" si="1"/>
        <v>3780</v>
      </c>
      <c r="E8" s="6">
        <f t="shared" si="2"/>
        <v>3780</v>
      </c>
      <c r="F8" s="6">
        <f t="shared" si="3"/>
        <v>14288400</v>
      </c>
      <c r="G8" s="6">
        <f t="shared" si="4"/>
        <v>11.3207547169811</v>
      </c>
      <c r="H8" s="6">
        <f t="shared" si="5"/>
        <v>11.3207547169811</v>
      </c>
    </row>
    <row r="9" spans="1:8">
      <c r="A9" s="5"/>
      <c r="B9" s="5"/>
      <c r="C9" s="4" t="s">
        <v>30</v>
      </c>
      <c r="D9" s="5">
        <f>SUM(D4:D8)</f>
        <v>27405</v>
      </c>
      <c r="E9" s="6">
        <f>SUM(E4:E8)</f>
        <v>27405</v>
      </c>
      <c r="F9" s="6">
        <f>SUM(F4:F8)</f>
        <v>171914207.535</v>
      </c>
      <c r="G9" s="6"/>
      <c r="H9" s="6">
        <f>SUM(H4:H8)</f>
        <v>133.873019059089</v>
      </c>
    </row>
    <row r="10" spans="1:8">
      <c r="A10" s="5"/>
      <c r="B10" s="5"/>
      <c r="C10" s="4"/>
      <c r="D10" s="7">
        <f>D9/5</f>
        <v>5481</v>
      </c>
      <c r="E10" s="9">
        <f>E9/5</f>
        <v>5481</v>
      </c>
      <c r="F10" s="9">
        <f>F9/5</f>
        <v>34382841.507</v>
      </c>
      <c r="G10" s="9"/>
      <c r="H10" s="9">
        <f>H9/5</f>
        <v>26.7746038118178</v>
      </c>
    </row>
    <row r="11" ht="17" spans="1:8">
      <c r="A11" s="5"/>
      <c r="B11" s="5"/>
      <c r="C11" s="4"/>
      <c r="D11" s="8" t="s">
        <v>70</v>
      </c>
      <c r="E11" s="1" t="s">
        <v>53</v>
      </c>
      <c r="F11" s="1" t="s">
        <v>54</v>
      </c>
      <c r="G11" s="9"/>
      <c r="H11" s="1" t="s">
        <v>55</v>
      </c>
    </row>
    <row r="12" spans="1:8">
      <c r="A12" s="5"/>
      <c r="B12" s="5"/>
      <c r="C12" s="6"/>
      <c r="D12" s="5"/>
      <c r="E12" s="6"/>
      <c r="F12" s="6"/>
      <c r="G12" s="6"/>
      <c r="H12" s="6"/>
    </row>
    <row r="13" ht="17" spans="1:8">
      <c r="A13" s="1" t="s">
        <v>74</v>
      </c>
      <c r="B13" s="9"/>
      <c r="C13" s="9"/>
      <c r="D13" s="9"/>
      <c r="E13" s="9"/>
      <c r="F13" s="9"/>
      <c r="G13" s="9"/>
      <c r="H13" s="9"/>
    </row>
    <row r="14" ht="68" spans="1:8">
      <c r="A14" s="6" t="s">
        <v>1</v>
      </c>
      <c r="B14" s="2" t="s">
        <v>75</v>
      </c>
      <c r="C14" s="4" t="s">
        <v>64</v>
      </c>
      <c r="D14" s="2" t="s">
        <v>65</v>
      </c>
      <c r="E14" s="2" t="s">
        <v>66</v>
      </c>
      <c r="F14" s="2" t="s">
        <v>67</v>
      </c>
      <c r="G14" s="2" t="s">
        <v>68</v>
      </c>
      <c r="H14" s="2" t="s">
        <v>69</v>
      </c>
    </row>
    <row r="15" ht="17" spans="1:8">
      <c r="A15" s="5" t="s">
        <v>5</v>
      </c>
      <c r="B15" s="5">
        <v>2820</v>
      </c>
      <c r="C15" s="6"/>
      <c r="D15" s="5"/>
      <c r="E15" s="6"/>
      <c r="F15" s="6"/>
      <c r="G15" s="6"/>
      <c r="H15" s="6"/>
    </row>
    <row r="16" ht="17" spans="1:8">
      <c r="A16" s="5" t="s">
        <v>7</v>
      </c>
      <c r="B16" s="5">
        <v>2780</v>
      </c>
      <c r="C16" s="6">
        <f>B15</f>
        <v>2820</v>
      </c>
      <c r="D16" s="5">
        <f>B16-C16</f>
        <v>-40</v>
      </c>
      <c r="E16" s="6" cm="1">
        <f t="array" ref="E16:E20">ABS(D16:D20)</f>
        <v>40</v>
      </c>
      <c r="F16" s="6">
        <f>E16^2</f>
        <v>1600</v>
      </c>
      <c r="G16" s="6">
        <f>D16/B16</f>
        <v>-0.0143884892086331</v>
      </c>
      <c r="H16" s="6" cm="1">
        <f t="array" ref="H16:H20">ABS(G16:G20)</f>
        <v>0.0143884892086331</v>
      </c>
    </row>
    <row r="17" ht="17" spans="1:8">
      <c r="A17" s="5" t="s">
        <v>8</v>
      </c>
      <c r="B17" s="5">
        <v>2760</v>
      </c>
      <c r="C17" s="6">
        <f t="shared" ref="C17:C20" si="6">B16</f>
        <v>2780</v>
      </c>
      <c r="D17" s="5">
        <f t="shared" ref="D17:D20" si="7">B17-C17</f>
        <v>-20</v>
      </c>
      <c r="E17" s="6">
        <v>20</v>
      </c>
      <c r="F17" s="6">
        <f t="shared" ref="F17:F20" si="8">E17^2</f>
        <v>400</v>
      </c>
      <c r="G17" s="6">
        <f t="shared" ref="G17:G20" si="9">D17/B17</f>
        <v>-0.0072463768115942</v>
      </c>
      <c r="H17" s="6">
        <v>0.0072463768115942</v>
      </c>
    </row>
    <row r="18" ht="17" spans="1:8">
      <c r="A18" s="5" t="s">
        <v>10</v>
      </c>
      <c r="B18" s="5">
        <v>2740</v>
      </c>
      <c r="C18" s="6">
        <f t="shared" si="6"/>
        <v>2760</v>
      </c>
      <c r="D18" s="5">
        <f t="shared" si="7"/>
        <v>-20</v>
      </c>
      <c r="E18" s="6">
        <v>20</v>
      </c>
      <c r="F18" s="6">
        <f t="shared" si="8"/>
        <v>400</v>
      </c>
      <c r="G18" s="6">
        <f t="shared" si="9"/>
        <v>-0.0072992700729927</v>
      </c>
      <c r="H18" s="6">
        <v>0.0072992700729927</v>
      </c>
    </row>
    <row r="19" ht="17" spans="1:8">
      <c r="A19" s="5" t="s">
        <v>12</v>
      </c>
      <c r="B19" s="5">
        <v>2680</v>
      </c>
      <c r="C19" s="6">
        <f t="shared" si="6"/>
        <v>2740</v>
      </c>
      <c r="D19" s="5">
        <f t="shared" si="7"/>
        <v>-60</v>
      </c>
      <c r="E19" s="6">
        <v>60</v>
      </c>
      <c r="F19" s="6">
        <f t="shared" si="8"/>
        <v>3600</v>
      </c>
      <c r="G19" s="6">
        <f t="shared" si="9"/>
        <v>-0.0223880597014925</v>
      </c>
      <c r="H19" s="6">
        <v>0.0223880597014925</v>
      </c>
    </row>
    <row r="20" ht="17" spans="1:8">
      <c r="A20" s="5" t="s">
        <v>14</v>
      </c>
      <c r="B20" s="5">
        <v>2620</v>
      </c>
      <c r="C20" s="6">
        <f t="shared" si="6"/>
        <v>2680</v>
      </c>
      <c r="D20" s="5">
        <f t="shared" si="7"/>
        <v>-60</v>
      </c>
      <c r="E20" s="6">
        <v>60</v>
      </c>
      <c r="F20" s="6">
        <f t="shared" si="8"/>
        <v>3600</v>
      </c>
      <c r="G20" s="6">
        <f t="shared" si="9"/>
        <v>-0.0229007633587786</v>
      </c>
      <c r="H20" s="6">
        <v>0.0229007633587786</v>
      </c>
    </row>
    <row r="21" spans="1:8">
      <c r="A21" s="6"/>
      <c r="B21" s="6"/>
      <c r="C21" s="4" t="s">
        <v>30</v>
      </c>
      <c r="D21" s="5">
        <f>SUM(D16:D20)</f>
        <v>-200</v>
      </c>
      <c r="E21" s="6">
        <f>SUM(_xlfn.ANCHORARRAY(E16))</f>
        <v>200</v>
      </c>
      <c r="F21" s="6">
        <f>SUM(F16:F20)</f>
        <v>9600</v>
      </c>
      <c r="G21" s="6"/>
      <c r="H21" s="6">
        <f>SUM(_xlfn.ANCHORARRAY(H16))</f>
        <v>0.0742229591534912</v>
      </c>
    </row>
    <row r="22" spans="1:8">
      <c r="A22" s="6"/>
      <c r="B22" s="6"/>
      <c r="C22" s="6"/>
      <c r="D22" s="7">
        <f>D21/5</f>
        <v>-40</v>
      </c>
      <c r="E22" s="9">
        <f>E21/5</f>
        <v>40</v>
      </c>
      <c r="F22" s="9">
        <f>F21/5</f>
        <v>1920</v>
      </c>
      <c r="G22" s="9"/>
      <c r="H22" s="9">
        <f>H21/5</f>
        <v>0.0148445918306982</v>
      </c>
    </row>
    <row r="23" ht="17" spans="1:8">
      <c r="A23" s="6"/>
      <c r="B23" s="6"/>
      <c r="C23" s="6"/>
      <c r="D23" s="8" t="s">
        <v>70</v>
      </c>
      <c r="E23" s="1" t="s">
        <v>53</v>
      </c>
      <c r="F23" s="1" t="s">
        <v>54</v>
      </c>
      <c r="G23" s="9"/>
      <c r="H23" s="1" t="s">
        <v>55</v>
      </c>
    </row>
  </sheetData>
  <mergeCells count="2">
    <mergeCell ref="A1:H1"/>
    <mergeCell ref="A13:H13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zoomScale="103" zoomScaleNormal="103" topLeftCell="A3" workbookViewId="0">
      <selection activeCell="H22" sqref="H22"/>
    </sheetView>
  </sheetViews>
  <sheetFormatPr defaultColWidth="9" defaultRowHeight="16.8" outlineLevelCol="7"/>
  <cols>
    <col min="2" max="2" width="17.0673076923077" customWidth="1"/>
  </cols>
  <sheetData>
    <row r="1" spans="1:8">
      <c r="A1" s="1" t="s">
        <v>73</v>
      </c>
      <c r="B1" s="1"/>
      <c r="C1" s="1"/>
      <c r="D1" s="1"/>
      <c r="E1" s="1"/>
      <c r="F1" s="1"/>
      <c r="G1" s="1"/>
      <c r="H1" s="1"/>
    </row>
    <row r="2" ht="68" spans="1:8">
      <c r="A2" s="2" t="s">
        <v>1</v>
      </c>
      <c r="B2" s="3" t="s">
        <v>20</v>
      </c>
      <c r="C2" s="4" t="s">
        <v>64</v>
      </c>
      <c r="D2" s="2" t="s">
        <v>65</v>
      </c>
      <c r="E2" s="2" t="s">
        <v>66</v>
      </c>
      <c r="F2" s="2" t="s">
        <v>67</v>
      </c>
      <c r="G2" s="2" t="s">
        <v>68</v>
      </c>
      <c r="H2" s="2" t="s">
        <v>69</v>
      </c>
    </row>
    <row r="3" ht="17" spans="1:8">
      <c r="A3" s="5" t="s">
        <v>5</v>
      </c>
      <c r="B3" s="3">
        <v>5985</v>
      </c>
      <c r="C3" s="6"/>
      <c r="D3" s="5"/>
      <c r="E3" s="6"/>
      <c r="F3" s="6"/>
      <c r="G3" s="6"/>
      <c r="H3" s="6"/>
    </row>
    <row r="4" ht="17" spans="1:8">
      <c r="A4" s="5" t="s">
        <v>7</v>
      </c>
      <c r="B4" s="3">
        <v>13965</v>
      </c>
      <c r="C4" s="6"/>
      <c r="D4" s="5"/>
      <c r="E4" s="6"/>
      <c r="F4" s="6"/>
      <c r="G4" s="6"/>
      <c r="H4" s="6"/>
    </row>
    <row r="5" ht="17" spans="1:8">
      <c r="A5" s="5" t="s">
        <v>8</v>
      </c>
      <c r="B5" s="3">
        <v>19690.65</v>
      </c>
      <c r="C5" s="6">
        <f>SUM(B3:B4)/2</f>
        <v>9975</v>
      </c>
      <c r="D5" s="5">
        <f t="shared" ref="D5:D8" si="0">B5-C5</f>
        <v>9715.65</v>
      </c>
      <c r="E5" s="6">
        <f t="shared" ref="E5:E8" si="1">ABS(D5)</f>
        <v>9715.65</v>
      </c>
      <c r="F5" s="6">
        <f t="shared" ref="F5:F8" si="2">E5^2</f>
        <v>94393854.9225</v>
      </c>
      <c r="G5" s="6">
        <f t="shared" ref="G5:G8" si="3">D5/B5*100</f>
        <v>49.3414387031408</v>
      </c>
      <c r="H5" s="6">
        <f t="shared" ref="H5:H8" si="4">ABS(G5)</f>
        <v>49.3414387031408</v>
      </c>
    </row>
    <row r="6" ht="17" spans="1:8">
      <c r="A6" s="5" t="s">
        <v>10</v>
      </c>
      <c r="B6" s="3">
        <v>22204.35</v>
      </c>
      <c r="C6" s="6">
        <f t="shared" ref="C6:C8" si="5">SUM(B4:B5)/2</f>
        <v>16827.825</v>
      </c>
      <c r="D6" s="5">
        <f t="shared" si="0"/>
        <v>5376.525</v>
      </c>
      <c r="E6" s="6">
        <f t="shared" si="1"/>
        <v>5376.525</v>
      </c>
      <c r="F6" s="6">
        <f t="shared" si="2"/>
        <v>28907021.075625</v>
      </c>
      <c r="G6" s="6">
        <f t="shared" si="3"/>
        <v>24.2138364779874</v>
      </c>
      <c r="H6" s="6">
        <f t="shared" si="4"/>
        <v>24.2138364779874</v>
      </c>
    </row>
    <row r="7" ht="17" spans="1:8">
      <c r="A7" s="5" t="s">
        <v>12</v>
      </c>
      <c r="B7" s="3">
        <v>29610</v>
      </c>
      <c r="C7" s="6">
        <f t="shared" si="5"/>
        <v>20947.5</v>
      </c>
      <c r="D7" s="5">
        <f t="shared" si="0"/>
        <v>8662.5</v>
      </c>
      <c r="E7" s="6">
        <f t="shared" si="1"/>
        <v>8662.5</v>
      </c>
      <c r="F7" s="6">
        <f t="shared" si="2"/>
        <v>75038906.25</v>
      </c>
      <c r="G7" s="6">
        <f t="shared" si="3"/>
        <v>29.2553191489362</v>
      </c>
      <c r="H7" s="6">
        <f t="shared" si="4"/>
        <v>29.2553191489362</v>
      </c>
    </row>
    <row r="8" ht="17" spans="1:8">
      <c r="A8" s="5" t="s">
        <v>14</v>
      </c>
      <c r="B8" s="3">
        <v>33390</v>
      </c>
      <c r="C8" s="6">
        <f t="shared" si="5"/>
        <v>25907.175</v>
      </c>
      <c r="D8" s="5">
        <f t="shared" si="0"/>
        <v>7482.825</v>
      </c>
      <c r="E8" s="6">
        <f t="shared" si="1"/>
        <v>7482.825</v>
      </c>
      <c r="F8" s="6">
        <f t="shared" si="2"/>
        <v>55992669.980625</v>
      </c>
      <c r="G8" s="6">
        <f t="shared" si="3"/>
        <v>22.4103773584906</v>
      </c>
      <c r="H8" s="6">
        <f t="shared" si="4"/>
        <v>22.4103773584906</v>
      </c>
    </row>
    <row r="9" spans="1:8">
      <c r="A9" s="5"/>
      <c r="B9" s="5"/>
      <c r="C9" s="4" t="s">
        <v>30</v>
      </c>
      <c r="D9" s="5">
        <f>SUM(D4:D8)</f>
        <v>31237.5</v>
      </c>
      <c r="E9" s="6">
        <f>SUM(E4:E8)</f>
        <v>31237.5</v>
      </c>
      <c r="F9" s="6">
        <f>SUM(F4:F8)</f>
        <v>254332452.22875</v>
      </c>
      <c r="G9" s="6"/>
      <c r="H9" s="6">
        <f>SUM(H4:H8)</f>
        <v>125.220971688555</v>
      </c>
    </row>
    <row r="10" spans="1:8">
      <c r="A10" s="5"/>
      <c r="B10" s="5"/>
      <c r="C10" s="4"/>
      <c r="D10" s="7">
        <f>D9/4</f>
        <v>7809.375</v>
      </c>
      <c r="E10" s="9">
        <f>E9/4</f>
        <v>7809.375</v>
      </c>
      <c r="F10" s="9">
        <f>F9/4</f>
        <v>63583113.0571875</v>
      </c>
      <c r="G10" s="9"/>
      <c r="H10" s="9">
        <f>H9/4</f>
        <v>31.3052429221387</v>
      </c>
    </row>
    <row r="11" ht="17" spans="1:8">
      <c r="A11" s="5"/>
      <c r="B11" s="5"/>
      <c r="C11" s="4"/>
      <c r="D11" s="8" t="s">
        <v>70</v>
      </c>
      <c r="E11" s="1" t="s">
        <v>53</v>
      </c>
      <c r="F11" s="1" t="s">
        <v>54</v>
      </c>
      <c r="G11" s="9"/>
      <c r="H11" s="1" t="s">
        <v>55</v>
      </c>
    </row>
    <row r="12" spans="1:8">
      <c r="A12" s="5"/>
      <c r="B12" s="5"/>
      <c r="C12" s="6"/>
      <c r="D12" s="5"/>
      <c r="E12" s="6"/>
      <c r="F12" s="6"/>
      <c r="G12" s="6"/>
      <c r="H12" s="6"/>
    </row>
    <row r="13" ht="17" spans="1:8">
      <c r="A13" s="1" t="s">
        <v>74</v>
      </c>
      <c r="B13" s="9"/>
      <c r="C13" s="9"/>
      <c r="D13" s="9"/>
      <c r="E13" s="9"/>
      <c r="F13" s="9"/>
      <c r="G13" s="9"/>
      <c r="H13" s="9"/>
    </row>
    <row r="14" ht="68" spans="1:8">
      <c r="A14" s="6" t="s">
        <v>1</v>
      </c>
      <c r="B14" s="2" t="s">
        <v>75</v>
      </c>
      <c r="C14" s="4" t="s">
        <v>64</v>
      </c>
      <c r="D14" s="2" t="s">
        <v>65</v>
      </c>
      <c r="E14" s="2" t="s">
        <v>66</v>
      </c>
      <c r="F14" s="2" t="s">
        <v>67</v>
      </c>
      <c r="G14" s="2" t="s">
        <v>68</v>
      </c>
      <c r="H14" s="2" t="s">
        <v>69</v>
      </c>
    </row>
    <row r="15" ht="17" spans="1:8">
      <c r="A15" s="5" t="s">
        <v>5</v>
      </c>
      <c r="B15" s="5">
        <v>2820</v>
      </c>
      <c r="C15" s="6"/>
      <c r="D15" s="5"/>
      <c r="E15" s="6"/>
      <c r="F15" s="6"/>
      <c r="G15" s="6"/>
      <c r="H15" s="6"/>
    </row>
    <row r="16" ht="17" spans="1:8">
      <c r="A16" s="5" t="s">
        <v>7</v>
      </c>
      <c r="B16" s="5">
        <v>2780</v>
      </c>
      <c r="C16" s="6"/>
      <c r="D16" s="5"/>
      <c r="E16" s="6"/>
      <c r="F16" s="6"/>
      <c r="G16" s="6"/>
      <c r="H16" s="6"/>
    </row>
    <row r="17" ht="17" spans="1:8">
      <c r="A17" s="5" t="s">
        <v>8</v>
      </c>
      <c r="B17" s="5">
        <v>2760</v>
      </c>
      <c r="C17" s="6">
        <f>SUM(B15:B16)/2</f>
        <v>2800</v>
      </c>
      <c r="D17" s="5">
        <f>B17-C17</f>
        <v>-40</v>
      </c>
      <c r="E17" s="6">
        <f>ABS(D17)</f>
        <v>40</v>
      </c>
      <c r="F17" s="6">
        <f t="shared" ref="F17:F20" si="6">E17^2</f>
        <v>1600</v>
      </c>
      <c r="G17" s="6">
        <f t="shared" ref="G17:G20" si="7">D17/B17</f>
        <v>-0.0144927536231884</v>
      </c>
      <c r="H17" s="6">
        <f>ABS(G17)</f>
        <v>0.0144927536231884</v>
      </c>
    </row>
    <row r="18" ht="17" spans="1:8">
      <c r="A18" s="5" t="s">
        <v>10</v>
      </c>
      <c r="B18" s="5">
        <v>2740</v>
      </c>
      <c r="C18" s="6">
        <f t="shared" ref="C18:C20" si="8">SUM(B16:B17)/2</f>
        <v>2770</v>
      </c>
      <c r="D18" s="5">
        <f t="shared" ref="D18:D20" si="9">B18-C18</f>
        <v>-30</v>
      </c>
      <c r="E18" s="6">
        <f t="shared" ref="E18:E20" si="10">ABS(D18)</f>
        <v>30</v>
      </c>
      <c r="F18" s="6">
        <f t="shared" si="6"/>
        <v>900</v>
      </c>
      <c r="G18" s="6">
        <f t="shared" si="7"/>
        <v>-0.0109489051094891</v>
      </c>
      <c r="H18" s="6">
        <f t="shared" ref="H18:H20" si="11">ABS(G18)</f>
        <v>0.0109489051094891</v>
      </c>
    </row>
    <row r="19" ht="17" spans="1:8">
      <c r="A19" s="5" t="s">
        <v>12</v>
      </c>
      <c r="B19" s="5">
        <v>2680</v>
      </c>
      <c r="C19" s="6">
        <f t="shared" si="8"/>
        <v>2750</v>
      </c>
      <c r="D19" s="5">
        <f t="shared" si="9"/>
        <v>-70</v>
      </c>
      <c r="E19" s="6">
        <f t="shared" si="10"/>
        <v>70</v>
      </c>
      <c r="F19" s="6">
        <f t="shared" si="6"/>
        <v>4900</v>
      </c>
      <c r="G19" s="6">
        <f t="shared" si="7"/>
        <v>-0.0261194029850746</v>
      </c>
      <c r="H19" s="6">
        <f t="shared" si="11"/>
        <v>0.0261194029850746</v>
      </c>
    </row>
    <row r="20" ht="17" spans="1:8">
      <c r="A20" s="5" t="s">
        <v>14</v>
      </c>
      <c r="B20" s="5">
        <v>2620</v>
      </c>
      <c r="C20" s="6">
        <f t="shared" si="8"/>
        <v>2710</v>
      </c>
      <c r="D20" s="5">
        <f t="shared" si="9"/>
        <v>-90</v>
      </c>
      <c r="E20" s="6">
        <f t="shared" si="10"/>
        <v>90</v>
      </c>
      <c r="F20" s="6">
        <f t="shared" si="6"/>
        <v>8100</v>
      </c>
      <c r="G20" s="6">
        <f t="shared" si="7"/>
        <v>-0.0343511450381679</v>
      </c>
      <c r="H20" s="6">
        <f t="shared" si="11"/>
        <v>0.0343511450381679</v>
      </c>
    </row>
    <row r="21" spans="1:8">
      <c r="A21" s="6"/>
      <c r="B21" s="6"/>
      <c r="C21" s="4" t="s">
        <v>30</v>
      </c>
      <c r="D21" s="5">
        <f>SUM(D16:D20)</f>
        <v>-230</v>
      </c>
      <c r="E21" s="6">
        <f>SUM(E17:E20)</f>
        <v>230</v>
      </c>
      <c r="F21" s="6">
        <f>SUM(F16:F20)</f>
        <v>15500</v>
      </c>
      <c r="G21" s="6"/>
      <c r="H21" s="6">
        <f>SUM(H17:H20)</f>
        <v>0.08591220675592</v>
      </c>
    </row>
    <row r="22" spans="1:8">
      <c r="A22" s="6"/>
      <c r="B22" s="6"/>
      <c r="C22" s="6"/>
      <c r="D22" s="7">
        <f>D21/4</f>
        <v>-57.5</v>
      </c>
      <c r="E22" s="9">
        <f>E21/4</f>
        <v>57.5</v>
      </c>
      <c r="F22" s="9">
        <f>F21/4</f>
        <v>3875</v>
      </c>
      <c r="G22" s="9"/>
      <c r="H22" s="9">
        <f>H21/4</f>
        <v>0.02147805168898</v>
      </c>
    </row>
    <row r="23" ht="17" spans="1:8">
      <c r="A23" s="6"/>
      <c r="B23" s="6"/>
      <c r="C23" s="6"/>
      <c r="D23" s="8" t="s">
        <v>70</v>
      </c>
      <c r="E23" s="1" t="s">
        <v>53</v>
      </c>
      <c r="F23" s="1" t="s">
        <v>54</v>
      </c>
      <c r="G23" s="9"/>
      <c r="H23" s="1" t="s">
        <v>55</v>
      </c>
    </row>
  </sheetData>
  <mergeCells count="2">
    <mergeCell ref="A1:H1"/>
    <mergeCell ref="A13:H13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topLeftCell="A3" workbookViewId="0">
      <selection activeCell="H22" sqref="H22"/>
    </sheetView>
  </sheetViews>
  <sheetFormatPr defaultColWidth="9" defaultRowHeight="16.8" outlineLevelCol="7"/>
  <sheetData>
    <row r="1" spans="1:8">
      <c r="A1" s="1" t="s">
        <v>73</v>
      </c>
      <c r="B1" s="1"/>
      <c r="C1" s="1"/>
      <c r="D1" s="1"/>
      <c r="E1" s="1"/>
      <c r="F1" s="1"/>
      <c r="G1" s="1"/>
      <c r="H1" s="1"/>
    </row>
    <row r="2" ht="68" spans="1:8">
      <c r="A2" s="2" t="s">
        <v>1</v>
      </c>
      <c r="B2" s="3" t="s">
        <v>20</v>
      </c>
      <c r="C2" s="4" t="s">
        <v>64</v>
      </c>
      <c r="D2" s="2" t="s">
        <v>65</v>
      </c>
      <c r="E2" s="2" t="s">
        <v>66</v>
      </c>
      <c r="F2" s="2" t="s">
        <v>67</v>
      </c>
      <c r="G2" s="2" t="s">
        <v>68</v>
      </c>
      <c r="H2" s="2" t="s">
        <v>69</v>
      </c>
    </row>
    <row r="3" ht="17" spans="1:8">
      <c r="A3" s="5" t="s">
        <v>5</v>
      </c>
      <c r="B3" s="3">
        <v>5985</v>
      </c>
      <c r="C3" s="6"/>
      <c r="D3" s="5"/>
      <c r="E3" s="6"/>
      <c r="F3" s="6"/>
      <c r="G3" s="6"/>
      <c r="H3" s="6"/>
    </row>
    <row r="4" ht="17" spans="1:8">
      <c r="A4" s="5" t="s">
        <v>7</v>
      </c>
      <c r="B4" s="3">
        <v>13965</v>
      </c>
      <c r="C4" s="6"/>
      <c r="D4" s="5"/>
      <c r="E4" s="6"/>
      <c r="F4" s="6"/>
      <c r="G4" s="6"/>
      <c r="H4" s="6"/>
    </row>
    <row r="5" ht="17" spans="1:8">
      <c r="A5" s="5" t="s">
        <v>8</v>
      </c>
      <c r="B5" s="3">
        <v>19690.65</v>
      </c>
      <c r="C5" s="6"/>
      <c r="D5" s="5"/>
      <c r="E5" s="6"/>
      <c r="F5" s="6"/>
      <c r="G5" s="6"/>
      <c r="H5" s="6"/>
    </row>
    <row r="6" ht="17" spans="1:8">
      <c r="A6" s="5" t="s">
        <v>10</v>
      </c>
      <c r="B6" s="3">
        <v>22204.35</v>
      </c>
      <c r="C6" s="6">
        <f>SUM(B3:B5)/3</f>
        <v>13213.55</v>
      </c>
      <c r="D6" s="5">
        <f t="shared" ref="D6:D8" si="0">B6-C6</f>
        <v>8990.8</v>
      </c>
      <c r="E6" s="6">
        <f t="shared" ref="E6:E8" si="1">ABS(D6)</f>
        <v>8990.8</v>
      </c>
      <c r="F6" s="6">
        <f t="shared" ref="F6:F8" si="2">E6^2</f>
        <v>80834484.64</v>
      </c>
      <c r="G6" s="6">
        <f t="shared" ref="G6:G8" si="3">D6/B6*100</f>
        <v>40.4911650194669</v>
      </c>
      <c r="H6" s="6">
        <f t="shared" ref="H6:H8" si="4">ABS(G6)</f>
        <v>40.4911650194669</v>
      </c>
    </row>
    <row r="7" ht="17" spans="1:8">
      <c r="A7" s="5" t="s">
        <v>12</v>
      </c>
      <c r="B7" s="3">
        <v>29610</v>
      </c>
      <c r="C7" s="6">
        <f t="shared" ref="C7:C8" si="5">SUM(B4:B6)/3</f>
        <v>18620</v>
      </c>
      <c r="D7" s="5">
        <f t="shared" si="0"/>
        <v>10990</v>
      </c>
      <c r="E7" s="6">
        <f t="shared" si="1"/>
        <v>10990</v>
      </c>
      <c r="F7" s="6">
        <f t="shared" si="2"/>
        <v>120780100</v>
      </c>
      <c r="G7" s="6">
        <f t="shared" si="3"/>
        <v>37.1158392434988</v>
      </c>
      <c r="H7" s="6">
        <f t="shared" si="4"/>
        <v>37.1158392434988</v>
      </c>
    </row>
    <row r="8" ht="17" spans="1:8">
      <c r="A8" s="5" t="s">
        <v>14</v>
      </c>
      <c r="B8" s="3">
        <v>33390</v>
      </c>
      <c r="C8" s="6">
        <f t="shared" si="5"/>
        <v>23835</v>
      </c>
      <c r="D8" s="5">
        <f t="shared" si="0"/>
        <v>9555</v>
      </c>
      <c r="E8" s="6">
        <f t="shared" si="1"/>
        <v>9555</v>
      </c>
      <c r="F8" s="6">
        <f t="shared" si="2"/>
        <v>91298025</v>
      </c>
      <c r="G8" s="6">
        <f t="shared" si="3"/>
        <v>28.6163522012579</v>
      </c>
      <c r="H8" s="6">
        <f t="shared" si="4"/>
        <v>28.6163522012579</v>
      </c>
    </row>
    <row r="9" spans="1:8">
      <c r="A9" s="5"/>
      <c r="B9" s="5"/>
      <c r="C9" s="4" t="s">
        <v>30</v>
      </c>
      <c r="D9" s="5">
        <f>SUM(D4:D8)</f>
        <v>29535.8</v>
      </c>
      <c r="E9" s="6">
        <f>SUM(E4:E8)</f>
        <v>29535.8</v>
      </c>
      <c r="F9" s="6">
        <f>SUM(F4:F8)</f>
        <v>292912609.64</v>
      </c>
      <c r="G9" s="6"/>
      <c r="H9" s="6">
        <f>SUM(H4:H8)</f>
        <v>106.223356464224</v>
      </c>
    </row>
    <row r="10" spans="1:8">
      <c r="A10" s="5"/>
      <c r="B10" s="5"/>
      <c r="C10" s="4"/>
      <c r="D10" s="7">
        <f>D9/3</f>
        <v>9845.26666666666</v>
      </c>
      <c r="E10" s="9">
        <f>E9/3</f>
        <v>9845.26666666666</v>
      </c>
      <c r="F10" s="9">
        <f>F9/3</f>
        <v>97637536.5466667</v>
      </c>
      <c r="G10" s="9"/>
      <c r="H10" s="9">
        <f>H9/3</f>
        <v>35.4077854880745</v>
      </c>
    </row>
    <row r="11" ht="17" spans="1:8">
      <c r="A11" s="5"/>
      <c r="B11" s="5"/>
      <c r="C11" s="4"/>
      <c r="D11" s="8" t="s">
        <v>70</v>
      </c>
      <c r="E11" s="1" t="s">
        <v>53</v>
      </c>
      <c r="F11" s="1" t="s">
        <v>54</v>
      </c>
      <c r="G11" s="9"/>
      <c r="H11" s="1" t="s">
        <v>55</v>
      </c>
    </row>
    <row r="12" spans="1:8">
      <c r="A12" s="5"/>
      <c r="B12" s="5"/>
      <c r="C12" s="6"/>
      <c r="D12" s="5"/>
      <c r="E12" s="6"/>
      <c r="F12" s="6"/>
      <c r="G12" s="6"/>
      <c r="H12" s="6"/>
    </row>
    <row r="13" ht="17" spans="1:8">
      <c r="A13" s="1" t="s">
        <v>74</v>
      </c>
      <c r="B13" s="9"/>
      <c r="C13" s="9"/>
      <c r="D13" s="9"/>
      <c r="E13" s="9"/>
      <c r="F13" s="9"/>
      <c r="G13" s="9"/>
      <c r="H13" s="9"/>
    </row>
    <row r="14" ht="68" spans="1:8">
      <c r="A14" s="6" t="s">
        <v>1</v>
      </c>
      <c r="B14" s="2" t="s">
        <v>75</v>
      </c>
      <c r="C14" s="4" t="s">
        <v>64</v>
      </c>
      <c r="D14" s="2" t="s">
        <v>65</v>
      </c>
      <c r="E14" s="2" t="s">
        <v>66</v>
      </c>
      <c r="F14" s="2" t="s">
        <v>67</v>
      </c>
      <c r="G14" s="2" t="s">
        <v>68</v>
      </c>
      <c r="H14" s="2" t="s">
        <v>69</v>
      </c>
    </row>
    <row r="15" ht="17" spans="1:8">
      <c r="A15" s="5" t="s">
        <v>5</v>
      </c>
      <c r="B15" s="5">
        <v>2820</v>
      </c>
      <c r="C15" s="6"/>
      <c r="D15" s="5"/>
      <c r="E15" s="6"/>
      <c r="F15" s="6"/>
      <c r="G15" s="6"/>
      <c r="H15" s="6"/>
    </row>
    <row r="16" ht="17" spans="1:8">
      <c r="A16" s="5" t="s">
        <v>7</v>
      </c>
      <c r="B16" s="5">
        <v>2780</v>
      </c>
      <c r="C16" s="6"/>
      <c r="D16" s="5"/>
      <c r="E16" s="6"/>
      <c r="F16" s="6"/>
      <c r="G16" s="6"/>
      <c r="H16" s="6"/>
    </row>
    <row r="17" ht="17" spans="1:8">
      <c r="A17" s="5" t="s">
        <v>8</v>
      </c>
      <c r="B17" s="5">
        <v>2760</v>
      </c>
      <c r="C17" s="6"/>
      <c r="D17" s="5"/>
      <c r="E17" s="6"/>
      <c r="F17" s="6"/>
      <c r="G17" s="6"/>
      <c r="H17" s="6"/>
    </row>
    <row r="18" ht="17" spans="1:8">
      <c r="A18" s="5" t="s">
        <v>10</v>
      </c>
      <c r="B18" s="5">
        <v>2740</v>
      </c>
      <c r="C18" s="6">
        <f>SUM(B15:B17)/3</f>
        <v>2786.66666666667</v>
      </c>
      <c r="D18" s="5">
        <f t="shared" ref="D18:D20" si="6">B18-C18</f>
        <v>-46.6666666666665</v>
      </c>
      <c r="E18" s="6">
        <f t="shared" ref="E18:E20" si="7">ABS(D18)</f>
        <v>46.6666666666665</v>
      </c>
      <c r="F18" s="6">
        <f t="shared" ref="F18:F20" si="8">E18^2</f>
        <v>2177.77777777776</v>
      </c>
      <c r="G18" s="6">
        <f t="shared" ref="G18:G20" si="9">D18/B18</f>
        <v>-0.0170316301703162</v>
      </c>
      <c r="H18" s="6">
        <f t="shared" ref="H18:H20" si="10">ABS(G18)</f>
        <v>0.0170316301703162</v>
      </c>
    </row>
    <row r="19" ht="17" spans="1:8">
      <c r="A19" s="5" t="s">
        <v>12</v>
      </c>
      <c r="B19" s="5">
        <v>2680</v>
      </c>
      <c r="C19" s="6">
        <f t="shared" ref="C19:C20" si="11">SUM(B16:B18)/3</f>
        <v>2760</v>
      </c>
      <c r="D19" s="5">
        <f t="shared" si="6"/>
        <v>-80</v>
      </c>
      <c r="E19" s="6">
        <f t="shared" si="7"/>
        <v>80</v>
      </c>
      <c r="F19" s="6">
        <f t="shared" si="8"/>
        <v>6400</v>
      </c>
      <c r="G19" s="6">
        <f t="shared" si="9"/>
        <v>-0.0298507462686567</v>
      </c>
      <c r="H19" s="6">
        <f t="shared" si="10"/>
        <v>0.0298507462686567</v>
      </c>
    </row>
    <row r="20" ht="17" spans="1:8">
      <c r="A20" s="5" t="s">
        <v>14</v>
      </c>
      <c r="B20" s="5">
        <v>2620</v>
      </c>
      <c r="C20" s="6">
        <f t="shared" si="11"/>
        <v>2726.66666666667</v>
      </c>
      <c r="D20" s="5">
        <f t="shared" si="6"/>
        <v>-106.666666666667</v>
      </c>
      <c r="E20" s="6">
        <f t="shared" si="7"/>
        <v>106.666666666667</v>
      </c>
      <c r="F20" s="6">
        <f t="shared" si="8"/>
        <v>11377.7777777777</v>
      </c>
      <c r="G20" s="6">
        <f t="shared" si="9"/>
        <v>-0.0407124681933842</v>
      </c>
      <c r="H20" s="6">
        <f t="shared" si="10"/>
        <v>0.0407124681933842</v>
      </c>
    </row>
    <row r="21" spans="1:8">
      <c r="A21" s="6"/>
      <c r="B21" s="6"/>
      <c r="C21" s="4" t="s">
        <v>30</v>
      </c>
      <c r="D21" s="5">
        <f>SUM(D16:D20)</f>
        <v>-233.333333333333</v>
      </c>
      <c r="E21" s="6">
        <f>SUM(E17:E20)</f>
        <v>233.333333333333</v>
      </c>
      <c r="F21" s="6">
        <f>SUM(F16:F20)</f>
        <v>19955.5555555555</v>
      </c>
      <c r="G21" s="6"/>
      <c r="H21" s="6">
        <f>SUM(H17:H20)</f>
        <v>0.0875948446323571</v>
      </c>
    </row>
    <row r="22" spans="1:8">
      <c r="A22" s="6"/>
      <c r="B22" s="6"/>
      <c r="C22" s="6"/>
      <c r="D22" s="7">
        <f>D21/3</f>
        <v>-77.7777777777777</v>
      </c>
      <c r="E22" s="9">
        <f>E21/3</f>
        <v>77.7777777777777</v>
      </c>
      <c r="F22" s="9">
        <f>F21/3</f>
        <v>6651.85185185184</v>
      </c>
      <c r="G22" s="9"/>
      <c r="H22" s="9">
        <f>H21/3</f>
        <v>0.029198281544119</v>
      </c>
    </row>
    <row r="23" ht="17" spans="1:8">
      <c r="A23" s="6"/>
      <c r="B23" s="6"/>
      <c r="C23" s="6"/>
      <c r="D23" s="8" t="s">
        <v>70</v>
      </c>
      <c r="E23" s="1" t="s">
        <v>53</v>
      </c>
      <c r="F23" s="1" t="s">
        <v>54</v>
      </c>
      <c r="G23" s="9"/>
      <c r="H23" s="1" t="s">
        <v>55</v>
      </c>
    </row>
  </sheetData>
  <mergeCells count="2">
    <mergeCell ref="A1:H1"/>
    <mergeCell ref="A13:H13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zoomScale="99" zoomScaleNormal="99" topLeftCell="A2" workbookViewId="0">
      <selection activeCell="H22" sqref="H22"/>
    </sheetView>
  </sheetViews>
  <sheetFormatPr defaultColWidth="9" defaultRowHeight="16.8" outlineLevelCol="7"/>
  <cols>
    <col min="2" max="2" width="17.6634615384615" customWidth="1"/>
  </cols>
  <sheetData>
    <row r="1" spans="1:8">
      <c r="A1" s="1" t="s">
        <v>76</v>
      </c>
      <c r="B1" s="1"/>
      <c r="C1" s="1"/>
      <c r="D1" s="1"/>
      <c r="E1" s="1"/>
      <c r="F1" s="1"/>
      <c r="G1" s="1"/>
      <c r="H1" s="1"/>
    </row>
    <row r="2" ht="68" spans="1:8">
      <c r="A2" s="2" t="s">
        <v>1</v>
      </c>
      <c r="B2" s="3" t="s">
        <v>21</v>
      </c>
      <c r="C2" s="4" t="s">
        <v>64</v>
      </c>
      <c r="D2" s="2" t="s">
        <v>65</v>
      </c>
      <c r="E2" s="2" t="s">
        <v>66</v>
      </c>
      <c r="F2" s="2" t="s">
        <v>67</v>
      </c>
      <c r="G2" s="2" t="s">
        <v>68</v>
      </c>
      <c r="H2" s="2" t="s">
        <v>69</v>
      </c>
    </row>
    <row r="3" ht="17" spans="1:8">
      <c r="A3" s="5" t="s">
        <v>5</v>
      </c>
      <c r="B3" s="3">
        <v>2175</v>
      </c>
      <c r="C3" s="6"/>
      <c r="D3" s="5"/>
      <c r="E3" s="6"/>
      <c r="F3" s="6"/>
      <c r="G3" s="6"/>
      <c r="H3" s="6"/>
    </row>
    <row r="4" ht="17" spans="1:8">
      <c r="A4" s="5" t="s">
        <v>7</v>
      </c>
      <c r="B4" s="3">
        <v>5075</v>
      </c>
      <c r="C4" s="6">
        <f>B3</f>
        <v>2175</v>
      </c>
      <c r="D4" s="5">
        <f>B4-C4</f>
        <v>2900</v>
      </c>
      <c r="E4" s="6">
        <f>ABS(D4)</f>
        <v>2900</v>
      </c>
      <c r="F4" s="6">
        <f>E4^2</f>
        <v>8410000</v>
      </c>
      <c r="G4" s="6">
        <f>D4/B4*100</f>
        <v>57.1428571428571</v>
      </c>
      <c r="H4" s="6">
        <f>ABS(G4)</f>
        <v>57.1428571428571</v>
      </c>
    </row>
    <row r="5" ht="17" spans="1:8">
      <c r="A5" s="5" t="s">
        <v>8</v>
      </c>
      <c r="B5" s="3">
        <v>7155.75</v>
      </c>
      <c r="C5" s="6">
        <f t="shared" ref="C5:C8" si="0">B4</f>
        <v>5075</v>
      </c>
      <c r="D5" s="5">
        <f t="shared" ref="D5:D8" si="1">B5-C5</f>
        <v>2080.75</v>
      </c>
      <c r="E5" s="6">
        <f t="shared" ref="E5:E8" si="2">ABS(D5)</f>
        <v>2080.75</v>
      </c>
      <c r="F5" s="6">
        <f t="shared" ref="F5:F8" si="3">E5^2</f>
        <v>4329520.5625</v>
      </c>
      <c r="G5" s="6">
        <f t="shared" ref="G5:G8" si="4">D5/B5*100</f>
        <v>29.0780141843972</v>
      </c>
      <c r="H5" s="6">
        <f t="shared" ref="H5:H8" si="5">ABS(G5)</f>
        <v>29.0780141843972</v>
      </c>
    </row>
    <row r="6" ht="17" spans="1:8">
      <c r="A6" s="5" t="s">
        <v>10</v>
      </c>
      <c r="B6" s="3">
        <v>8069.25</v>
      </c>
      <c r="C6" s="6">
        <f t="shared" si="0"/>
        <v>7155.75</v>
      </c>
      <c r="D6" s="5">
        <f t="shared" si="1"/>
        <v>913.5</v>
      </c>
      <c r="E6" s="6">
        <f t="shared" si="2"/>
        <v>913.5</v>
      </c>
      <c r="F6" s="6">
        <f t="shared" si="3"/>
        <v>834482.25</v>
      </c>
      <c r="G6" s="6">
        <f t="shared" si="4"/>
        <v>11.3207547169811</v>
      </c>
      <c r="H6" s="6">
        <f t="shared" si="5"/>
        <v>11.3207547169811</v>
      </c>
    </row>
    <row r="7" ht="17" spans="1:8">
      <c r="A7" s="5" t="s">
        <v>12</v>
      </c>
      <c r="B7" s="3">
        <v>11280</v>
      </c>
      <c r="C7" s="6">
        <f t="shared" si="0"/>
        <v>8069.25</v>
      </c>
      <c r="D7" s="5">
        <f t="shared" si="1"/>
        <v>3210.75</v>
      </c>
      <c r="E7" s="6">
        <f t="shared" si="2"/>
        <v>3210.75</v>
      </c>
      <c r="F7" s="6">
        <f t="shared" si="3"/>
        <v>10308915.5625</v>
      </c>
      <c r="G7" s="6">
        <f t="shared" si="4"/>
        <v>28.4640957446809</v>
      </c>
      <c r="H7" s="6">
        <f t="shared" si="5"/>
        <v>28.4640957446809</v>
      </c>
    </row>
    <row r="8" ht="17" spans="1:8">
      <c r="A8" s="5" t="s">
        <v>14</v>
      </c>
      <c r="B8" s="3">
        <v>12720</v>
      </c>
      <c r="C8" s="6">
        <f t="shared" si="0"/>
        <v>11280</v>
      </c>
      <c r="D8" s="5">
        <f t="shared" si="1"/>
        <v>1440</v>
      </c>
      <c r="E8" s="6">
        <f t="shared" si="2"/>
        <v>1440</v>
      </c>
      <c r="F8" s="6">
        <f t="shared" si="3"/>
        <v>2073600</v>
      </c>
      <c r="G8" s="6">
        <f t="shared" si="4"/>
        <v>11.3207547169811</v>
      </c>
      <c r="H8" s="6">
        <f t="shared" si="5"/>
        <v>11.3207547169811</v>
      </c>
    </row>
    <row r="9" spans="1:8">
      <c r="A9" s="5"/>
      <c r="B9" s="5"/>
      <c r="C9" s="4" t="s">
        <v>30</v>
      </c>
      <c r="D9" s="5">
        <f>SUM(D4:D8)</f>
        <v>10545</v>
      </c>
      <c r="E9" s="6">
        <f>SUM(E4:E8)</f>
        <v>10545</v>
      </c>
      <c r="F9" s="6">
        <f>SUM(F4:F8)</f>
        <v>25956518.375</v>
      </c>
      <c r="G9" s="6"/>
      <c r="H9" s="6">
        <f>SUM(H4:H8)</f>
        <v>137.326476505897</v>
      </c>
    </row>
    <row r="10" spans="1:8">
      <c r="A10" s="5"/>
      <c r="B10" s="5"/>
      <c r="C10" s="4"/>
      <c r="D10" s="7">
        <f>D9/5</f>
        <v>2109</v>
      </c>
      <c r="E10" s="9">
        <f>E9/5</f>
        <v>2109</v>
      </c>
      <c r="F10" s="9">
        <f>F9/5</f>
        <v>5191303.675</v>
      </c>
      <c r="G10" s="9"/>
      <c r="H10" s="9">
        <f>H9/5</f>
        <v>27.4652953011795</v>
      </c>
    </row>
    <row r="11" ht="17" spans="1:8">
      <c r="A11" s="5"/>
      <c r="B11" s="5"/>
      <c r="C11" s="4"/>
      <c r="D11" s="8" t="s">
        <v>70</v>
      </c>
      <c r="E11" s="1" t="s">
        <v>53</v>
      </c>
      <c r="F11" s="1" t="s">
        <v>54</v>
      </c>
      <c r="G11" s="9"/>
      <c r="H11" s="1" t="s">
        <v>55</v>
      </c>
    </row>
    <row r="12" spans="1:8">
      <c r="A12" s="5"/>
      <c r="B12" s="5"/>
      <c r="C12" s="6"/>
      <c r="D12" s="5"/>
      <c r="E12" s="6"/>
      <c r="F12" s="6"/>
      <c r="G12" s="6"/>
      <c r="H12" s="6"/>
    </row>
    <row r="13" ht="17" spans="1:8">
      <c r="A13" s="1" t="s">
        <v>77</v>
      </c>
      <c r="B13" s="9"/>
      <c r="C13" s="9"/>
      <c r="D13" s="9"/>
      <c r="E13" s="9"/>
      <c r="F13" s="9"/>
      <c r="G13" s="9"/>
      <c r="H13" s="9"/>
    </row>
    <row r="14" ht="68" spans="1:8">
      <c r="A14" s="6" t="s">
        <v>1</v>
      </c>
      <c r="B14" s="2" t="s">
        <v>78</v>
      </c>
      <c r="C14" s="4" t="s">
        <v>64</v>
      </c>
      <c r="D14" s="2" t="s">
        <v>65</v>
      </c>
      <c r="E14" s="2" t="s">
        <v>66</v>
      </c>
      <c r="F14" s="2" t="s">
        <v>67</v>
      </c>
      <c r="G14" s="2" t="s">
        <v>68</v>
      </c>
      <c r="H14" s="2" t="s">
        <v>69</v>
      </c>
    </row>
    <row r="15" ht="17" spans="1:8">
      <c r="A15" s="5" t="s">
        <v>5</v>
      </c>
      <c r="B15" s="5">
        <v>3130</v>
      </c>
      <c r="C15" s="6"/>
      <c r="D15" s="5"/>
      <c r="E15" s="6"/>
      <c r="F15" s="6"/>
      <c r="G15" s="6"/>
      <c r="H15" s="6"/>
    </row>
    <row r="16" ht="17" spans="1:8">
      <c r="A16" s="5" t="s">
        <v>7</v>
      </c>
      <c r="B16" s="5">
        <v>3070</v>
      </c>
      <c r="C16" s="6">
        <f>B15</f>
        <v>3130</v>
      </c>
      <c r="D16" s="5">
        <f>B16-C16</f>
        <v>-60</v>
      </c>
      <c r="E16" s="6" cm="1">
        <f t="array" ref="E16:E20">ABS(D16:D20)</f>
        <v>60</v>
      </c>
      <c r="F16" s="6">
        <f>E16^2</f>
        <v>3600</v>
      </c>
      <c r="G16" s="6">
        <f>D16/B16</f>
        <v>-0.0195439739413681</v>
      </c>
      <c r="H16" s="6" cm="1">
        <f t="array" ref="H16:H20">ABS(G16:G20)</f>
        <v>0.0195439739413681</v>
      </c>
    </row>
    <row r="17" ht="17" spans="1:8">
      <c r="A17" s="5" t="s">
        <v>8</v>
      </c>
      <c r="B17" s="5">
        <v>3070</v>
      </c>
      <c r="C17" s="6">
        <f t="shared" ref="C17:C20" si="6">B16</f>
        <v>3070</v>
      </c>
      <c r="D17" s="5">
        <f t="shared" ref="D17:D20" si="7">B17-C17</f>
        <v>0</v>
      </c>
      <c r="E17" s="6">
        <v>0</v>
      </c>
      <c r="F17" s="6">
        <f t="shared" ref="F17:F20" si="8">E17^2</f>
        <v>0</v>
      </c>
      <c r="G17" s="6">
        <f t="shared" ref="G17:G20" si="9">D17/B17</f>
        <v>0</v>
      </c>
      <c r="H17" s="6">
        <v>0</v>
      </c>
    </row>
    <row r="18" ht="17" spans="1:8">
      <c r="A18" s="5" t="s">
        <v>10</v>
      </c>
      <c r="B18" s="5">
        <v>3030</v>
      </c>
      <c r="C18" s="6">
        <f t="shared" si="6"/>
        <v>3070</v>
      </c>
      <c r="D18" s="5">
        <f t="shared" si="7"/>
        <v>-40</v>
      </c>
      <c r="E18" s="6">
        <v>40</v>
      </c>
      <c r="F18" s="6">
        <f t="shared" si="8"/>
        <v>0</v>
      </c>
      <c r="G18" s="6">
        <f t="shared" si="9"/>
        <v>-0.0132013201320132</v>
      </c>
      <c r="H18" s="6">
        <v>0.0132013201320132</v>
      </c>
    </row>
    <row r="19" ht="17" spans="1:8">
      <c r="A19" s="5" t="s">
        <v>12</v>
      </c>
      <c r="B19" s="5">
        <v>2990</v>
      </c>
      <c r="C19" s="6">
        <f t="shared" si="6"/>
        <v>3030</v>
      </c>
      <c r="D19" s="5">
        <f t="shared" si="7"/>
        <v>-40</v>
      </c>
      <c r="E19" s="6">
        <v>40</v>
      </c>
      <c r="F19" s="6">
        <f t="shared" si="8"/>
        <v>0</v>
      </c>
      <c r="G19" s="6">
        <f t="shared" si="9"/>
        <v>-0.0133779264214047</v>
      </c>
      <c r="H19" s="6">
        <v>0.0133779264214047</v>
      </c>
    </row>
    <row r="20" ht="17" spans="1:8">
      <c r="A20" s="5" t="s">
        <v>14</v>
      </c>
      <c r="B20" s="5">
        <v>2810</v>
      </c>
      <c r="C20" s="6">
        <f t="shared" si="6"/>
        <v>2990</v>
      </c>
      <c r="D20" s="5">
        <f t="shared" si="7"/>
        <v>-180</v>
      </c>
      <c r="E20" s="6">
        <v>180</v>
      </c>
      <c r="F20" s="6">
        <f t="shared" si="8"/>
        <v>0</v>
      </c>
      <c r="G20" s="6">
        <f t="shared" si="9"/>
        <v>-0.0640569395017794</v>
      </c>
      <c r="H20" s="6">
        <v>0.0640569395017794</v>
      </c>
    </row>
    <row r="21" spans="1:8">
      <c r="A21" s="6"/>
      <c r="B21" s="6"/>
      <c r="C21" s="4" t="s">
        <v>30</v>
      </c>
      <c r="D21" s="5">
        <f>SUM(D16:D20)</f>
        <v>-320</v>
      </c>
      <c r="E21" s="6">
        <f>SUM(_xlfn.ANCHORARRAY(E16))</f>
        <v>320</v>
      </c>
      <c r="F21" s="6">
        <f>SUM(F16:F20)</f>
        <v>3600</v>
      </c>
      <c r="G21" s="6"/>
      <c r="H21" s="6">
        <f>SUM(_xlfn.ANCHORARRAY(H16))</f>
        <v>0.110180159996565</v>
      </c>
    </row>
    <row r="22" spans="1:8">
      <c r="A22" s="6"/>
      <c r="B22" s="6"/>
      <c r="C22" s="6"/>
      <c r="D22" s="7">
        <f>D21/5</f>
        <v>-64</v>
      </c>
      <c r="E22" s="9">
        <f>E21/5</f>
        <v>64</v>
      </c>
      <c r="F22" s="9">
        <f>F21/5</f>
        <v>7840</v>
      </c>
      <c r="G22" s="9"/>
      <c r="H22" s="9">
        <f>H21/5</f>
        <v>0.0220360319993131</v>
      </c>
    </row>
    <row r="23" ht="17" spans="1:8">
      <c r="A23" s="6"/>
      <c r="B23" s="6"/>
      <c r="C23" s="6"/>
      <c r="D23" s="8" t="s">
        <v>70</v>
      </c>
      <c r="E23" s="1" t="s">
        <v>53</v>
      </c>
      <c r="F23" s="1" t="s">
        <v>54</v>
      </c>
      <c r="G23" s="9"/>
      <c r="H23" s="1" t="s">
        <v>55</v>
      </c>
    </row>
  </sheetData>
  <mergeCells count="2">
    <mergeCell ref="A1:H1"/>
    <mergeCell ref="A13:H13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H22" sqref="H22"/>
    </sheetView>
  </sheetViews>
  <sheetFormatPr defaultColWidth="9" defaultRowHeight="16.8" outlineLevelCol="7"/>
  <cols>
    <col min="2" max="2" width="19.4615384615385" customWidth="1"/>
    <col min="8" max="8" width="10.7307692307692" customWidth="1"/>
  </cols>
  <sheetData>
    <row r="1" spans="1:8">
      <c r="A1" s="1" t="s">
        <v>76</v>
      </c>
      <c r="B1" s="1"/>
      <c r="C1" s="1"/>
      <c r="D1" s="1"/>
      <c r="E1" s="1"/>
      <c r="F1" s="1"/>
      <c r="G1" s="1"/>
      <c r="H1" s="1"/>
    </row>
    <row r="2" ht="68" spans="1:8">
      <c r="A2" s="2" t="s">
        <v>1</v>
      </c>
      <c r="B2" s="3" t="s">
        <v>21</v>
      </c>
      <c r="C2" s="4" t="s">
        <v>64</v>
      </c>
      <c r="D2" s="2" t="s">
        <v>65</v>
      </c>
      <c r="E2" s="2" t="s">
        <v>66</v>
      </c>
      <c r="F2" s="2" t="s">
        <v>67</v>
      </c>
      <c r="G2" s="2" t="s">
        <v>68</v>
      </c>
      <c r="H2" s="2" t="s">
        <v>69</v>
      </c>
    </row>
    <row r="3" ht="17" spans="1:8">
      <c r="A3" s="5" t="s">
        <v>5</v>
      </c>
      <c r="B3" s="3">
        <v>2175</v>
      </c>
      <c r="C3" s="6"/>
      <c r="D3" s="5"/>
      <c r="E3" s="6"/>
      <c r="F3" s="6"/>
      <c r="G3" s="6"/>
      <c r="H3" s="6"/>
    </row>
    <row r="4" ht="17" spans="1:8">
      <c r="A4" s="5" t="s">
        <v>7</v>
      </c>
      <c r="B4" s="3">
        <v>5075</v>
      </c>
      <c r="C4" s="6"/>
      <c r="D4" s="5"/>
      <c r="E4" s="6"/>
      <c r="F4" s="6"/>
      <c r="G4" s="6"/>
      <c r="H4" s="6"/>
    </row>
    <row r="5" ht="17" spans="1:8">
      <c r="A5" s="5" t="s">
        <v>8</v>
      </c>
      <c r="B5" s="3">
        <v>7155.75</v>
      </c>
      <c r="C5" s="4">
        <f>SUM(B3:B4)/2</f>
        <v>3625</v>
      </c>
      <c r="D5" s="5">
        <f t="shared" ref="D5:D8" si="0">B5-C5</f>
        <v>3530.75</v>
      </c>
      <c r="E5" s="6">
        <f t="shared" ref="E5:E8" si="1">ABS(D5)</f>
        <v>3530.75</v>
      </c>
      <c r="F5" s="6">
        <f t="shared" ref="F5:F8" si="2">E5^2</f>
        <v>12466195.5625</v>
      </c>
      <c r="G5" s="6">
        <f t="shared" ref="G5:G8" si="3">D5/B5*100</f>
        <v>49.3414387031408</v>
      </c>
      <c r="H5" s="6">
        <f t="shared" ref="H5:H8" si="4">ABS(G5)</f>
        <v>49.3414387031408</v>
      </c>
    </row>
    <row r="6" ht="17" spans="1:8">
      <c r="A6" s="5" t="s">
        <v>10</v>
      </c>
      <c r="B6" s="3">
        <v>8069.25</v>
      </c>
      <c r="C6" s="4">
        <f t="shared" ref="C6:C8" si="5">SUM(B4:B5)/2</f>
        <v>6115.375</v>
      </c>
      <c r="D6" s="5">
        <f t="shared" si="0"/>
        <v>1953.875</v>
      </c>
      <c r="E6" s="6">
        <f t="shared" si="1"/>
        <v>1953.875</v>
      </c>
      <c r="F6" s="6">
        <f t="shared" si="2"/>
        <v>3817627.515625</v>
      </c>
      <c r="G6" s="6">
        <f t="shared" si="3"/>
        <v>24.2138364779874</v>
      </c>
      <c r="H6" s="6">
        <f t="shared" si="4"/>
        <v>24.2138364779874</v>
      </c>
    </row>
    <row r="7" ht="17" spans="1:8">
      <c r="A7" s="5" t="s">
        <v>12</v>
      </c>
      <c r="B7" s="3">
        <v>11280</v>
      </c>
      <c r="C7" s="4">
        <f t="shared" si="5"/>
        <v>7612.5</v>
      </c>
      <c r="D7" s="5">
        <f t="shared" si="0"/>
        <v>3667.5</v>
      </c>
      <c r="E7" s="6">
        <f t="shared" si="1"/>
        <v>3667.5</v>
      </c>
      <c r="F7" s="6">
        <f t="shared" si="2"/>
        <v>13450556.25</v>
      </c>
      <c r="G7" s="6">
        <f t="shared" si="3"/>
        <v>32.5132978723404</v>
      </c>
      <c r="H7" s="6">
        <f t="shared" si="4"/>
        <v>32.5132978723404</v>
      </c>
    </row>
    <row r="8" ht="17" spans="1:8">
      <c r="A8" s="5" t="s">
        <v>14</v>
      </c>
      <c r="B8" s="3">
        <v>12720</v>
      </c>
      <c r="C8" s="4">
        <f t="shared" si="5"/>
        <v>9674.625</v>
      </c>
      <c r="D8" s="5">
        <f t="shared" si="0"/>
        <v>3045.375</v>
      </c>
      <c r="E8" s="6">
        <f t="shared" si="1"/>
        <v>3045.375</v>
      </c>
      <c r="F8" s="6">
        <f t="shared" si="2"/>
        <v>9274308.890625</v>
      </c>
      <c r="G8" s="6">
        <f t="shared" si="3"/>
        <v>23.9416273584906</v>
      </c>
      <c r="H8" s="6">
        <f t="shared" si="4"/>
        <v>23.9416273584906</v>
      </c>
    </row>
    <row r="9" spans="1:8">
      <c r="A9" s="5"/>
      <c r="B9" s="5"/>
      <c r="C9" s="4" t="s">
        <v>30</v>
      </c>
      <c r="D9" s="5">
        <f>SUM(D4:D8)</f>
        <v>12197.5</v>
      </c>
      <c r="E9" s="6">
        <f>SUM(E4:E8)</f>
        <v>12197.5</v>
      </c>
      <c r="F9" s="6">
        <f>SUM(F4:F8)</f>
        <v>39008688.21875</v>
      </c>
      <c r="G9" s="6"/>
      <c r="H9" s="6">
        <f>SUM(H4:H8)</f>
        <v>130.010200411959</v>
      </c>
    </row>
    <row r="10" spans="1:8">
      <c r="A10" s="5"/>
      <c r="B10" s="5"/>
      <c r="C10" s="4"/>
      <c r="D10" s="7">
        <f>D9/4</f>
        <v>3049.375</v>
      </c>
      <c r="E10" s="9">
        <f>E9/4</f>
        <v>3049.375</v>
      </c>
      <c r="F10" s="9">
        <f>F9/4</f>
        <v>9752172.0546875</v>
      </c>
      <c r="G10" s="9"/>
      <c r="H10" s="9">
        <f>H9/4</f>
        <v>32.5025501029898</v>
      </c>
    </row>
    <row r="11" ht="17" spans="1:8">
      <c r="A11" s="5"/>
      <c r="B11" s="5"/>
      <c r="C11" s="4"/>
      <c r="D11" s="8" t="s">
        <v>70</v>
      </c>
      <c r="E11" s="1" t="s">
        <v>53</v>
      </c>
      <c r="F11" s="1" t="s">
        <v>54</v>
      </c>
      <c r="G11" s="9"/>
      <c r="H11" s="1" t="s">
        <v>55</v>
      </c>
    </row>
    <row r="12" spans="1:8">
      <c r="A12" s="5"/>
      <c r="B12" s="5"/>
      <c r="C12" s="6"/>
      <c r="D12" s="5"/>
      <c r="E12" s="6"/>
      <c r="F12" s="6"/>
      <c r="G12" s="6"/>
      <c r="H12" s="6"/>
    </row>
    <row r="13" ht="17" spans="1:8">
      <c r="A13" s="1" t="s">
        <v>77</v>
      </c>
      <c r="B13" s="9"/>
      <c r="C13" s="9"/>
      <c r="D13" s="9"/>
      <c r="E13" s="9"/>
      <c r="F13" s="9"/>
      <c r="G13" s="9"/>
      <c r="H13" s="9"/>
    </row>
    <row r="14" ht="68" spans="1:8">
      <c r="A14" s="6" t="s">
        <v>1</v>
      </c>
      <c r="B14" s="2" t="s">
        <v>78</v>
      </c>
      <c r="C14" s="4" t="s">
        <v>64</v>
      </c>
      <c r="D14" s="2" t="s">
        <v>65</v>
      </c>
      <c r="E14" s="2" t="s">
        <v>66</v>
      </c>
      <c r="F14" s="2" t="s">
        <v>67</v>
      </c>
      <c r="G14" s="2" t="s">
        <v>68</v>
      </c>
      <c r="H14" s="2" t="s">
        <v>69</v>
      </c>
    </row>
    <row r="15" ht="17" spans="1:8">
      <c r="A15" s="5" t="s">
        <v>5</v>
      </c>
      <c r="B15" s="5">
        <v>3130</v>
      </c>
      <c r="C15" s="6"/>
      <c r="D15" s="5"/>
      <c r="E15" s="6"/>
      <c r="F15" s="6"/>
      <c r="G15" s="6"/>
      <c r="H15" s="6"/>
    </row>
    <row r="16" ht="17" spans="1:8">
      <c r="A16" s="5" t="s">
        <v>7</v>
      </c>
      <c r="B16" s="5">
        <v>3070</v>
      </c>
      <c r="C16" s="6"/>
      <c r="D16" s="5"/>
      <c r="E16" s="6"/>
      <c r="F16" s="6"/>
      <c r="G16" s="6"/>
      <c r="H16" s="6"/>
    </row>
    <row r="17" ht="17" spans="1:8">
      <c r="A17" s="5" t="s">
        <v>8</v>
      </c>
      <c r="B17" s="5">
        <v>3070</v>
      </c>
      <c r="C17" s="6">
        <f>SUM(B15:B16)/2</f>
        <v>3100</v>
      </c>
      <c r="D17" s="5">
        <f t="shared" ref="D17:D20" si="6">B17-C17</f>
        <v>-30</v>
      </c>
      <c r="E17" s="6">
        <f>ABS(D17)</f>
        <v>30</v>
      </c>
      <c r="F17" s="6">
        <f t="shared" ref="F17:F20" si="7">E17^2</f>
        <v>900</v>
      </c>
      <c r="G17" s="6">
        <f>D17/B17</f>
        <v>-0.00977198697068404</v>
      </c>
      <c r="H17" s="6">
        <f>ABS(G17)</f>
        <v>0.00977198697068404</v>
      </c>
    </row>
    <row r="18" ht="17" spans="1:8">
      <c r="A18" s="5" t="s">
        <v>10</v>
      </c>
      <c r="B18" s="5">
        <v>3030</v>
      </c>
      <c r="C18" s="6">
        <f t="shared" ref="C18:C20" si="8">SUM(B16:B17)/2</f>
        <v>3070</v>
      </c>
      <c r="D18" s="5">
        <f t="shared" si="6"/>
        <v>-40</v>
      </c>
      <c r="E18" s="6">
        <f t="shared" ref="E18:E20" si="9">ABS(D18)</f>
        <v>40</v>
      </c>
      <c r="F18" s="6">
        <f t="shared" si="7"/>
        <v>1600</v>
      </c>
      <c r="G18" s="6">
        <f t="shared" ref="G18:G20" si="10">D18/B18</f>
        <v>-0.0132013201320132</v>
      </c>
      <c r="H18" s="6">
        <f t="shared" ref="H18:H20" si="11">ABS(G18)</f>
        <v>0.0132013201320132</v>
      </c>
    </row>
    <row r="19" ht="17" spans="1:8">
      <c r="A19" s="5" t="s">
        <v>12</v>
      </c>
      <c r="B19" s="5">
        <v>2990</v>
      </c>
      <c r="C19" s="6">
        <f t="shared" si="8"/>
        <v>3050</v>
      </c>
      <c r="D19" s="5">
        <f t="shared" si="6"/>
        <v>-60</v>
      </c>
      <c r="E19" s="6">
        <f t="shared" si="9"/>
        <v>60</v>
      </c>
      <c r="F19" s="6">
        <f t="shared" si="7"/>
        <v>3600</v>
      </c>
      <c r="G19" s="6">
        <f t="shared" si="10"/>
        <v>-0.020066889632107</v>
      </c>
      <c r="H19" s="6">
        <f t="shared" si="11"/>
        <v>0.020066889632107</v>
      </c>
    </row>
    <row r="20" ht="17" spans="1:8">
      <c r="A20" s="5" t="s">
        <v>14</v>
      </c>
      <c r="B20" s="5">
        <v>2810</v>
      </c>
      <c r="C20" s="6">
        <f t="shared" si="8"/>
        <v>3010</v>
      </c>
      <c r="D20" s="5">
        <f t="shared" si="6"/>
        <v>-200</v>
      </c>
      <c r="E20" s="6">
        <f t="shared" si="9"/>
        <v>200</v>
      </c>
      <c r="F20" s="6">
        <f t="shared" si="7"/>
        <v>40000</v>
      </c>
      <c r="G20" s="6">
        <f t="shared" si="10"/>
        <v>-0.0711743772241993</v>
      </c>
      <c r="H20" s="6">
        <f t="shared" si="11"/>
        <v>0.0711743772241993</v>
      </c>
    </row>
    <row r="21" spans="1:8">
      <c r="A21" s="6"/>
      <c r="B21" s="6"/>
      <c r="C21" s="4" t="s">
        <v>30</v>
      </c>
      <c r="D21" s="5">
        <f>SUM(D16:D20)</f>
        <v>-330</v>
      </c>
      <c r="E21" s="6">
        <f>SUM(E17:E20)</f>
        <v>330</v>
      </c>
      <c r="F21" s="6">
        <f>SUM(F16:F20)</f>
        <v>46100</v>
      </c>
      <c r="G21" s="6"/>
      <c r="H21" s="6">
        <f>SUM(H17:H20)</f>
        <v>0.114214573959004</v>
      </c>
    </row>
    <row r="22" spans="1:8">
      <c r="A22" s="6"/>
      <c r="B22" s="6"/>
      <c r="C22" s="6"/>
      <c r="D22" s="7">
        <f>D21/4</f>
        <v>-82.5</v>
      </c>
      <c r="E22" s="9">
        <f>E21/4</f>
        <v>82.5</v>
      </c>
      <c r="F22" s="9">
        <f>F21/4</f>
        <v>11525</v>
      </c>
      <c r="G22" s="9"/>
      <c r="H22" s="9">
        <f>H21/4</f>
        <v>0.0285536434897509</v>
      </c>
    </row>
    <row r="23" ht="17" spans="1:8">
      <c r="A23" s="6"/>
      <c r="B23" s="6"/>
      <c r="C23" s="6"/>
      <c r="D23" s="8" t="s">
        <v>70</v>
      </c>
      <c r="E23" s="1" t="s">
        <v>53</v>
      </c>
      <c r="F23" s="1" t="s">
        <v>54</v>
      </c>
      <c r="G23" s="9"/>
      <c r="H23" s="1" t="s">
        <v>55</v>
      </c>
    </row>
  </sheetData>
  <mergeCells count="2">
    <mergeCell ref="A1:H1"/>
    <mergeCell ref="A13:H13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H22" sqref="H22"/>
    </sheetView>
  </sheetViews>
  <sheetFormatPr defaultColWidth="9" defaultRowHeight="16.8" outlineLevelCol="7"/>
  <cols>
    <col min="4" max="4" width="12.2019230769231" customWidth="1"/>
  </cols>
  <sheetData>
    <row r="1" spans="1:8">
      <c r="A1" s="1" t="s">
        <v>76</v>
      </c>
      <c r="B1" s="1"/>
      <c r="C1" s="1"/>
      <c r="D1" s="1"/>
      <c r="E1" s="1"/>
      <c r="F1" s="1"/>
      <c r="G1" s="1"/>
      <c r="H1" s="1"/>
    </row>
    <row r="2" ht="68" spans="1:8">
      <c r="A2" s="2" t="s">
        <v>1</v>
      </c>
      <c r="B2" s="3" t="s">
        <v>21</v>
      </c>
      <c r="C2" s="4" t="s">
        <v>64</v>
      </c>
      <c r="D2" s="2" t="s">
        <v>65</v>
      </c>
      <c r="E2" s="2" t="s">
        <v>66</v>
      </c>
      <c r="F2" s="2" t="s">
        <v>67</v>
      </c>
      <c r="G2" s="2" t="s">
        <v>68</v>
      </c>
      <c r="H2" s="2" t="s">
        <v>69</v>
      </c>
    </row>
    <row r="3" ht="17" spans="1:8">
      <c r="A3" s="5" t="s">
        <v>5</v>
      </c>
      <c r="B3" s="3">
        <v>2175</v>
      </c>
      <c r="C3" s="6"/>
      <c r="D3" s="5"/>
      <c r="E3" s="6"/>
      <c r="F3" s="6"/>
      <c r="G3" s="6"/>
      <c r="H3" s="6"/>
    </row>
    <row r="4" ht="17" spans="1:8">
      <c r="A4" s="5" t="s">
        <v>7</v>
      </c>
      <c r="B4" s="3">
        <v>5075</v>
      </c>
      <c r="C4" s="6"/>
      <c r="D4" s="5"/>
      <c r="E4" s="6"/>
      <c r="F4" s="6"/>
      <c r="G4" s="6"/>
      <c r="H4" s="6"/>
    </row>
    <row r="5" ht="17" spans="1:8">
      <c r="A5" s="5" t="s">
        <v>8</v>
      </c>
      <c r="B5" s="3">
        <v>7155.75</v>
      </c>
      <c r="C5" s="4"/>
      <c r="D5" s="5"/>
      <c r="E5" s="6"/>
      <c r="F5" s="6"/>
      <c r="G5" s="6"/>
      <c r="H5" s="6"/>
    </row>
    <row r="6" ht="17" spans="1:8">
      <c r="A6" s="5" t="s">
        <v>10</v>
      </c>
      <c r="B6" s="3">
        <v>8069.25</v>
      </c>
      <c r="C6" s="4">
        <f>SUM(B3:B5)/3</f>
        <v>4801.91666666667</v>
      </c>
      <c r="D6" s="5">
        <f t="shared" ref="D6:D8" si="0">B6-C6</f>
        <v>3267.33333333333</v>
      </c>
      <c r="E6" s="6">
        <f t="shared" ref="E6:E8" si="1">ABS(D6)</f>
        <v>3267.33333333333</v>
      </c>
      <c r="F6" s="6">
        <f t="shared" ref="F6:F8" si="2">E6^2</f>
        <v>10675467.1111111</v>
      </c>
      <c r="G6" s="6">
        <f t="shared" ref="G6:G8" si="3">D6/B6*100</f>
        <v>40.4911650194669</v>
      </c>
      <c r="H6" s="6">
        <f t="shared" ref="H6:H8" si="4">ABS(G6)</f>
        <v>40.4911650194669</v>
      </c>
    </row>
    <row r="7" ht="17" spans="1:8">
      <c r="A7" s="5" t="s">
        <v>12</v>
      </c>
      <c r="B7" s="3">
        <v>11280</v>
      </c>
      <c r="C7" s="4">
        <f t="shared" ref="C7:C8" si="5">SUM(B4:B6)/3</f>
        <v>6766.66666666667</v>
      </c>
      <c r="D7" s="5">
        <f t="shared" si="0"/>
        <v>4513.33333333333</v>
      </c>
      <c r="E7" s="6">
        <f t="shared" si="1"/>
        <v>4513.33333333333</v>
      </c>
      <c r="F7" s="6">
        <f t="shared" si="2"/>
        <v>20370177.7777778</v>
      </c>
      <c r="G7" s="6">
        <f t="shared" si="3"/>
        <v>40.0118203309693</v>
      </c>
      <c r="H7" s="6">
        <f t="shared" si="4"/>
        <v>40.0118203309693</v>
      </c>
    </row>
    <row r="8" ht="17" spans="1:8">
      <c r="A8" s="5" t="s">
        <v>14</v>
      </c>
      <c r="B8" s="3">
        <v>12720</v>
      </c>
      <c r="C8" s="4">
        <f t="shared" si="5"/>
        <v>8835</v>
      </c>
      <c r="D8" s="5">
        <f t="shared" si="0"/>
        <v>3885</v>
      </c>
      <c r="E8" s="6">
        <f t="shared" si="1"/>
        <v>3885</v>
      </c>
      <c r="F8" s="6">
        <f t="shared" si="2"/>
        <v>15093225</v>
      </c>
      <c r="G8" s="6">
        <f t="shared" si="3"/>
        <v>30.5424528301887</v>
      </c>
      <c r="H8" s="6">
        <f t="shared" si="4"/>
        <v>30.5424528301887</v>
      </c>
    </row>
    <row r="9" spans="1:8">
      <c r="A9" s="5"/>
      <c r="B9" s="5"/>
      <c r="C9" s="4" t="s">
        <v>30</v>
      </c>
      <c r="D9" s="5">
        <f>SUM(D4:D8)</f>
        <v>11665.6666666667</v>
      </c>
      <c r="E9" s="6">
        <f>SUM(E4:E8)</f>
        <v>11665.6666666667</v>
      </c>
      <c r="F9" s="6">
        <f>SUM(F4:F8)</f>
        <v>46138869.8888889</v>
      </c>
      <c r="G9" s="6"/>
      <c r="H9" s="6">
        <f>SUM(H4:H8)</f>
        <v>111.045438180625</v>
      </c>
    </row>
    <row r="10" spans="1:8">
      <c r="A10" s="5"/>
      <c r="B10" s="5"/>
      <c r="C10" s="4"/>
      <c r="D10" s="7">
        <f>D9/3</f>
        <v>3888.55555555556</v>
      </c>
      <c r="E10" s="9">
        <f>E9/3</f>
        <v>3888.55555555556</v>
      </c>
      <c r="F10" s="9">
        <f>F9/3</f>
        <v>15379623.2962963</v>
      </c>
      <c r="G10" s="9"/>
      <c r="H10" s="9">
        <f>H9/3</f>
        <v>37.0151460602083</v>
      </c>
    </row>
    <row r="11" ht="17" spans="1:8">
      <c r="A11" s="5"/>
      <c r="B11" s="5"/>
      <c r="C11" s="4"/>
      <c r="D11" s="8" t="s">
        <v>70</v>
      </c>
      <c r="E11" s="1" t="s">
        <v>53</v>
      </c>
      <c r="F11" s="1" t="s">
        <v>54</v>
      </c>
      <c r="G11" s="9"/>
      <c r="H11" s="1" t="s">
        <v>55</v>
      </c>
    </row>
    <row r="12" spans="1:8">
      <c r="A12" s="5"/>
      <c r="B12" s="5"/>
      <c r="C12" s="6"/>
      <c r="D12" s="5"/>
      <c r="E12" s="6"/>
      <c r="F12" s="6"/>
      <c r="G12" s="6"/>
      <c r="H12" s="6"/>
    </row>
    <row r="13" ht="17" spans="1:8">
      <c r="A13" s="1" t="s">
        <v>77</v>
      </c>
      <c r="B13" s="9"/>
      <c r="C13" s="9"/>
      <c r="D13" s="9"/>
      <c r="E13" s="9"/>
      <c r="F13" s="9"/>
      <c r="G13" s="9"/>
      <c r="H13" s="9"/>
    </row>
    <row r="14" ht="84" spans="1:8">
      <c r="A14" s="6" t="s">
        <v>1</v>
      </c>
      <c r="B14" s="2" t="s">
        <v>78</v>
      </c>
      <c r="C14" s="4" t="s">
        <v>64</v>
      </c>
      <c r="D14" s="2" t="s">
        <v>65</v>
      </c>
      <c r="E14" s="2" t="s">
        <v>66</v>
      </c>
      <c r="F14" s="2" t="s">
        <v>67</v>
      </c>
      <c r="G14" s="2" t="s">
        <v>68</v>
      </c>
      <c r="H14" s="2" t="s">
        <v>69</v>
      </c>
    </row>
    <row r="15" ht="17" spans="1:8">
      <c r="A15" s="5" t="s">
        <v>5</v>
      </c>
      <c r="B15" s="5">
        <v>3130</v>
      </c>
      <c r="C15" s="6"/>
      <c r="D15" s="5"/>
      <c r="E15" s="6"/>
      <c r="F15" s="6"/>
      <c r="G15" s="6"/>
      <c r="H15" s="6"/>
    </row>
    <row r="16" ht="17" spans="1:8">
      <c r="A16" s="5" t="s">
        <v>7</v>
      </c>
      <c r="B16" s="5">
        <v>3070</v>
      </c>
      <c r="C16" s="6"/>
      <c r="D16" s="5"/>
      <c r="E16" s="6"/>
      <c r="F16" s="6"/>
      <c r="G16" s="6"/>
      <c r="H16" s="6"/>
    </row>
    <row r="17" ht="17" spans="1:8">
      <c r="A17" s="5" t="s">
        <v>8</v>
      </c>
      <c r="B17" s="5">
        <v>3070</v>
      </c>
      <c r="C17" s="6"/>
      <c r="D17" s="5"/>
      <c r="E17" s="6"/>
      <c r="F17" s="6"/>
      <c r="G17" s="6"/>
      <c r="H17" s="6"/>
    </row>
    <row r="18" ht="17" spans="1:8">
      <c r="A18" s="5" t="s">
        <v>10</v>
      </c>
      <c r="B18" s="5">
        <v>3030</v>
      </c>
      <c r="C18" s="6">
        <f>SUM(B15:B17)/3</f>
        <v>3090</v>
      </c>
      <c r="D18" s="5">
        <f t="shared" ref="D18:D20" si="6">B18-C18</f>
        <v>-60</v>
      </c>
      <c r="E18" s="6">
        <f t="shared" ref="E18:E20" si="7">ABS(D18)</f>
        <v>60</v>
      </c>
      <c r="F18" s="6">
        <f t="shared" ref="F18:F20" si="8">E18^2</f>
        <v>3600</v>
      </c>
      <c r="G18" s="6">
        <f t="shared" ref="G18:G20" si="9">D18/B18</f>
        <v>-0.0198019801980198</v>
      </c>
      <c r="H18" s="6">
        <f t="shared" ref="H18:H20" si="10">ABS(G18)</f>
        <v>0.0198019801980198</v>
      </c>
    </row>
    <row r="19" ht="17" spans="1:8">
      <c r="A19" s="5" t="s">
        <v>12</v>
      </c>
      <c r="B19" s="5">
        <v>2990</v>
      </c>
      <c r="C19" s="6">
        <f t="shared" ref="C19:C20" si="11">SUM(B16:B18)/3</f>
        <v>3056.66666666667</v>
      </c>
      <c r="D19" s="5">
        <f t="shared" si="6"/>
        <v>-66.6666666666665</v>
      </c>
      <c r="E19" s="6">
        <f t="shared" si="7"/>
        <v>66.6666666666665</v>
      </c>
      <c r="F19" s="6">
        <f t="shared" si="8"/>
        <v>4444.44444444442</v>
      </c>
      <c r="G19" s="6">
        <f t="shared" si="9"/>
        <v>-0.0222965440356744</v>
      </c>
      <c r="H19" s="6">
        <f t="shared" si="10"/>
        <v>0.0222965440356744</v>
      </c>
    </row>
    <row r="20" ht="17" spans="1:8">
      <c r="A20" s="5" t="s">
        <v>14</v>
      </c>
      <c r="B20" s="5">
        <v>2810</v>
      </c>
      <c r="C20" s="6">
        <f t="shared" si="11"/>
        <v>3030</v>
      </c>
      <c r="D20" s="5">
        <f t="shared" si="6"/>
        <v>-220</v>
      </c>
      <c r="E20" s="6">
        <f t="shared" si="7"/>
        <v>220</v>
      </c>
      <c r="F20" s="6">
        <f t="shared" si="8"/>
        <v>48400</v>
      </c>
      <c r="G20" s="6">
        <f t="shared" si="9"/>
        <v>-0.0782918149466192</v>
      </c>
      <c r="H20" s="6">
        <f t="shared" si="10"/>
        <v>0.0782918149466192</v>
      </c>
    </row>
    <row r="21" spans="1:8">
      <c r="A21" s="6"/>
      <c r="B21" s="6"/>
      <c r="C21" s="4" t="s">
        <v>30</v>
      </c>
      <c r="D21" s="5">
        <f>SUM(D16:D20)</f>
        <v>-346.666666666667</v>
      </c>
      <c r="E21" s="6">
        <f>SUM(E17:E20)</f>
        <v>346.666666666667</v>
      </c>
      <c r="F21" s="6">
        <f>SUM(F16:F20)</f>
        <v>56444.4444444444</v>
      </c>
      <c r="G21" s="6"/>
      <c r="H21" s="6">
        <f>SUM(H17:H20)</f>
        <v>0.120390339180313</v>
      </c>
    </row>
    <row r="22" spans="1:8">
      <c r="A22" s="6"/>
      <c r="B22" s="6"/>
      <c r="C22" s="6"/>
      <c r="D22" s="7">
        <f>D21/4</f>
        <v>-86.6666666666666</v>
      </c>
      <c r="E22" s="9">
        <f>E21/4</f>
        <v>86.6666666666666</v>
      </c>
      <c r="F22" s="9">
        <f>F21/4</f>
        <v>14111.1111111111</v>
      </c>
      <c r="G22" s="9"/>
      <c r="H22" s="9">
        <f>H21/4</f>
        <v>0.0300975847950784</v>
      </c>
    </row>
    <row r="23" ht="17" spans="1:8">
      <c r="A23" s="6"/>
      <c r="B23" s="6"/>
      <c r="C23" s="6"/>
      <c r="D23" s="8" t="s">
        <v>70</v>
      </c>
      <c r="E23" s="1" t="s">
        <v>53</v>
      </c>
      <c r="F23" s="1" t="s">
        <v>54</v>
      </c>
      <c r="G23" s="9"/>
      <c r="H23" s="1" t="s">
        <v>55</v>
      </c>
    </row>
  </sheetData>
  <mergeCells count="2">
    <mergeCell ref="A1:H1"/>
    <mergeCell ref="A13:H13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40D2A0-AC83-4D8B-BDC5-28409FFDFB1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碳排放量+回报金额</vt:lpstr>
      <vt:lpstr>Retail ES</vt:lpstr>
      <vt:lpstr>Retail平均k=2</vt:lpstr>
      <vt:lpstr>Retail平均k=3</vt:lpstr>
      <vt:lpstr>Business ES</vt:lpstr>
      <vt:lpstr>Business平均=2</vt:lpstr>
      <vt:lpstr>Business平均K=3</vt:lpstr>
      <vt:lpstr>Institution ES</vt:lpstr>
      <vt:lpstr>Institution平均k=2</vt:lpstr>
      <vt:lpstr>Institution平均k=3</vt:lpstr>
    </vt:vector>
  </TitlesOfParts>
</Properties>
</file>

<file path=docProps/core.xml><?xml version="1.0" encoding="utf-8"?>
<ns0:coreProperties xmlns:ns0="http://schemas.openxmlformats.org/package/2006/metadata/core-properties"/>
</file>